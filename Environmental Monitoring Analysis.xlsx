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hidePivotFieldList="1" defaultThemeVersion="202300"/>
  <mc:AlternateContent xmlns:mc="http://schemas.openxmlformats.org/markup-compatibility/2006">
    <mc:Choice Requires="x15">
      <x15ac:absPath xmlns:x15ac="http://schemas.microsoft.com/office/spreadsheetml/2010/11/ac" url="/Users/alyceghali/Documents/DataSciencePortfolio/"/>
    </mc:Choice>
  </mc:AlternateContent>
  <xr:revisionPtr revIDLastSave="0" documentId="8_{FC53B78F-FBE1-FD4D-A779-011A7701D23D}" xr6:coauthVersionLast="47" xr6:coauthVersionMax="47" xr10:uidLastSave="{00000000-0000-0000-0000-000000000000}"/>
  <bookViews>
    <workbookView xWindow="14480" yWindow="500" windowWidth="19020" windowHeight="19100" xr2:uid="{4276AAEE-B75E-514D-937E-60D565B8A173}"/>
  </bookViews>
  <sheets>
    <sheet name="Raw Data" sheetId="1" r:id="rId1"/>
    <sheet name="PivotTable - Avg CFU by Room" sheetId="2" r:id="rId2"/>
    <sheet name="PivotTable 2" sheetId="4" r:id="rId3"/>
    <sheet name="Dashboard" sheetId="5" r:id="rId4"/>
  </sheets>
  <definedNames>
    <definedName name="Slicer_Room">#N/A</definedName>
  </definedNames>
  <calcPr calcId="181029"/>
  <pivotCaches>
    <pivotCache cacheId="1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5" l="1"/>
  <c r="I4" i="5"/>
  <c r="G4" i="5"/>
  <c r="E4" i="5"/>
  <c r="C4" i="5"/>
  <c r="P3" i="1"/>
  <c r="P4" i="1"/>
  <c r="P5" i="1"/>
  <c r="P6" i="1"/>
  <c r="P7" i="1"/>
  <c r="P8" i="1"/>
  <c r="P9" i="1"/>
  <c r="P10" i="1"/>
  <c r="P11" i="1"/>
  <c r="P12" i="1"/>
  <c r="P13" i="1"/>
  <c r="P14" i="1"/>
  <c r="P15" i="1"/>
  <c r="P16" i="1"/>
  <c r="P17" i="1"/>
  <c r="P18" i="1"/>
  <c r="P19" i="1"/>
  <c r="P2" i="1"/>
  <c r="K3" i="1"/>
  <c r="K6" i="1"/>
  <c r="K4" i="1"/>
  <c r="K2" i="1"/>
  <c r="H7" i="1"/>
  <c r="H8" i="1"/>
  <c r="H9" i="1"/>
  <c r="H10" i="1"/>
  <c r="H11" i="1"/>
  <c r="H12" i="1"/>
  <c r="H13" i="1"/>
  <c r="H14" i="1"/>
  <c r="H15" i="1"/>
  <c r="H16" i="1"/>
  <c r="H17" i="1"/>
  <c r="H18" i="1"/>
  <c r="H19" i="1"/>
  <c r="H20" i="1"/>
  <c r="H21" i="1"/>
  <c r="K5" i="1"/>
  <c r="H3" i="1"/>
  <c r="H4" i="1"/>
  <c r="H5" i="1"/>
  <c r="H6" i="1"/>
  <c r="H2" i="1"/>
</calcChain>
</file>

<file path=xl/sharedStrings.xml><?xml version="1.0" encoding="utf-8"?>
<sst xmlns="http://schemas.openxmlformats.org/spreadsheetml/2006/main" count="101" uniqueCount="53">
  <si>
    <t>Sample_ID</t>
  </si>
  <si>
    <t>Date</t>
  </si>
  <si>
    <t>Room</t>
  </si>
  <si>
    <t>Sample_Type</t>
  </si>
  <si>
    <t>CFU_Count</t>
  </si>
  <si>
    <t>Alert_Limit</t>
  </si>
  <si>
    <t>Action_Limit</t>
  </si>
  <si>
    <t>Status</t>
  </si>
  <si>
    <t>EM-001</t>
  </si>
  <si>
    <t>EM-002</t>
  </si>
  <si>
    <t>EM-003</t>
  </si>
  <si>
    <t>EM-004</t>
  </si>
  <si>
    <t>EM-005</t>
  </si>
  <si>
    <t>ISO7-A</t>
  </si>
  <si>
    <t>ISO7-B</t>
  </si>
  <si>
    <t>ISO8-A</t>
  </si>
  <si>
    <t>ISO8-B</t>
  </si>
  <si>
    <t>Air</t>
  </si>
  <si>
    <t>Surface</t>
  </si>
  <si>
    <t>Metric</t>
  </si>
  <si>
    <t>Value</t>
  </si>
  <si>
    <t>Total Samples</t>
  </si>
  <si>
    <t>Total Alerts</t>
  </si>
  <si>
    <t>Total Actions</t>
  </si>
  <si>
    <t>Average CFU</t>
  </si>
  <si>
    <t>% Within Limit</t>
  </si>
  <si>
    <t>Row Labels</t>
  </si>
  <si>
    <t>Grand Total</t>
  </si>
  <si>
    <t>Average of CFU_Count</t>
  </si>
  <si>
    <t>EM-007</t>
  </si>
  <si>
    <t>EM-008</t>
  </si>
  <si>
    <t>EM-009</t>
  </si>
  <si>
    <t>EM-010</t>
  </si>
  <si>
    <t>EM-011</t>
  </si>
  <si>
    <t>EM-012</t>
  </si>
  <si>
    <t>EM-013</t>
  </si>
  <si>
    <t>EM-014</t>
  </si>
  <si>
    <t>EM-015</t>
  </si>
  <si>
    <t>EM-016</t>
  </si>
  <si>
    <t>EM-017</t>
  </si>
  <si>
    <t>EM-018</t>
  </si>
  <si>
    <t>EM-019</t>
  </si>
  <si>
    <t>EM-020</t>
  </si>
  <si>
    <t>EM-006</t>
  </si>
  <si>
    <t>Alert Limit</t>
  </si>
  <si>
    <t>Action Limit</t>
  </si>
  <si>
    <t>Environmental Monitoring Dashboard</t>
  </si>
  <si>
    <t>Key Findings</t>
  </si>
  <si>
    <t>Recommendation</t>
  </si>
  <si>
    <t>• ISO8-A had the highest average CFU count at 7.4.</t>
  </si>
  <si>
    <t>• Average CFU fluctuated over time, with Action-level results occurring on 8/3, 8/9, and 8/16.</t>
  </si>
  <si>
    <t>• 60% of samples remained within established limits, while 8 samples reached Alert or Action status.</t>
  </si>
  <si>
    <t>• Continue trending ISO8-A and review Alert/Action results to determine whether a recurring pattern is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</si>
</sst>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7" x14ac:knownFonts="1">
    <font>
      <sz val="12"/>
      <color theme="1"/>
      <name val="Aptos Narrow"/>
      <family val="2"/>
      <scheme val="minor"/>
    </font>
    <font>
      <sz val="12"/>
      <color theme="1"/>
      <name val="Aptos Narrow"/>
      <family val="2"/>
      <scheme val="minor"/>
    </font>
    <font>
      <sz val="12"/>
      <color rgb="FF000000"/>
      <name val="Aptos Narrow"/>
      <family val="2"/>
      <scheme val="minor"/>
    </font>
    <font>
      <b/>
      <sz val="12"/>
      <color theme="1"/>
      <name val="Aptos Narrow"/>
      <scheme val="minor"/>
    </font>
    <font>
      <b/>
      <sz val="18"/>
      <color theme="1"/>
      <name val="Aptos Narrow (Body)"/>
    </font>
    <font>
      <sz val="18"/>
      <color theme="1"/>
      <name val="Aptos Narrow"/>
      <family val="2"/>
      <scheme val="minor"/>
    </font>
    <font>
      <b/>
      <sz val="14"/>
      <color theme="1"/>
      <name val="Aptos Narrow"/>
      <scheme val="minor"/>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2" fillId="0" borderId="0" xfId="0" applyFont="1"/>
    <xf numFmtId="14" fontId="2" fillId="0" borderId="0" xfId="0" applyNumberFormat="1" applyFont="1"/>
    <xf numFmtId="14" fontId="0" fillId="0" borderId="0" xfId="0" applyNumberFormat="1" applyAlignment="1">
      <alignment horizontal="left"/>
    </xf>
    <xf numFmtId="0" fontId="3" fillId="0" borderId="0" xfId="0" applyFont="1" applyBorder="1" applyAlignment="1">
      <alignment horizontal="center" vertical="center"/>
    </xf>
    <xf numFmtId="0" fontId="5" fillId="0" borderId="0" xfId="0" applyFont="1" applyBorder="1" applyAlignment="1">
      <alignment horizontal="center" vertical="center"/>
    </xf>
    <xf numFmtId="0" fontId="4" fillId="0" borderId="0" xfId="0" applyFont="1" applyAlignment="1">
      <alignment horizontal="center"/>
    </xf>
    <xf numFmtId="0" fontId="0" fillId="0" borderId="0" xfId="0" applyBorder="1"/>
    <xf numFmtId="0" fontId="3" fillId="2" borderId="1" xfId="0" applyFont="1" applyFill="1" applyBorder="1" applyAlignment="1">
      <alignment horizontal="center" vertical="center"/>
    </xf>
    <xf numFmtId="0" fontId="5" fillId="2" borderId="2" xfId="0" applyFont="1" applyFill="1" applyBorder="1" applyAlignment="1">
      <alignment horizontal="center" vertical="center"/>
    </xf>
    <xf numFmtId="9" fontId="3" fillId="2" borderId="1" xfId="1" applyFont="1" applyFill="1" applyBorder="1" applyAlignment="1">
      <alignment horizontal="center" vertical="center"/>
    </xf>
    <xf numFmtId="9" fontId="5" fillId="2" borderId="2" xfId="1" applyFont="1" applyFill="1" applyBorder="1" applyAlignment="1">
      <alignment horizontal="center" vertical="center"/>
    </xf>
    <xf numFmtId="0" fontId="6" fillId="0" borderId="0" xfId="0" applyFont="1" applyAlignment="1">
      <alignment horizontal="center"/>
    </xf>
    <xf numFmtId="0" fontId="0" fillId="0" borderId="0" xfId="0" applyAlignment="1">
      <alignment horizontal="left"/>
    </xf>
  </cellXfs>
  <cellStyles count="2">
    <cellStyle name="Normal" xfId="0" builtinId="0"/>
    <cellStyle name="Percent" xfId="1" builtinId="5"/>
  </cellStyles>
  <dxfs count="3">
    <dxf>
      <font>
        <color rgb="FF9C0006"/>
      </font>
      <fill>
        <patternFill>
          <bgColor rgb="FFFFC7CE"/>
        </patternFill>
      </fill>
    </dxf>
    <dxf>
      <font>
        <color rgb="FF9C5700"/>
      </font>
      <fill>
        <patternFill>
          <bgColor rgb="FFFFEB9C"/>
        </patternFill>
      </fill>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Environmental Monitoring</a:t>
            </a:r>
            <a:r>
              <a:rPr lang="en-US" baseline="0"/>
              <a:t> CFU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 Data'!$N$1</c:f>
              <c:strCache>
                <c:ptCount val="1"/>
                <c:pt idx="0">
                  <c:v>Alert Limit</c:v>
                </c:pt>
              </c:strCache>
            </c:strRef>
          </c:tx>
          <c:spPr>
            <a:ln w="28575" cap="rnd">
              <a:solidFill>
                <a:schemeClr val="accent1"/>
              </a:solidFill>
              <a:round/>
            </a:ln>
            <a:effectLst/>
          </c:spPr>
          <c:marker>
            <c:symbol val="none"/>
          </c:marker>
          <c:cat>
            <c:numRef>
              <c:f>'Raw Data'!$M$2:$M$19</c:f>
              <c:numCache>
                <c:formatCode>m/d/yy</c:formatCode>
                <c:ptCount val="18"/>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numCache>
            </c:numRef>
          </c:cat>
          <c:val>
            <c:numRef>
              <c:f>'Raw Data'!$N$2:$N$19</c:f>
              <c:numCache>
                <c:formatCode>General</c:formatCode>
                <c:ptCount val="1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numCache>
            </c:numRef>
          </c:val>
          <c:smooth val="0"/>
          <c:extLst>
            <c:ext xmlns:c16="http://schemas.microsoft.com/office/drawing/2014/chart" uri="{C3380CC4-5D6E-409C-BE32-E72D297353CC}">
              <c16:uniqueId val="{00000000-DF0F-7343-BFAB-C78D46229E09}"/>
            </c:ext>
          </c:extLst>
        </c:ser>
        <c:ser>
          <c:idx val="1"/>
          <c:order val="1"/>
          <c:tx>
            <c:strRef>
              <c:f>'Raw Data'!$O$1</c:f>
              <c:strCache>
                <c:ptCount val="1"/>
                <c:pt idx="0">
                  <c:v>Action Limit</c:v>
                </c:pt>
              </c:strCache>
            </c:strRef>
          </c:tx>
          <c:spPr>
            <a:ln w="28575" cap="rnd">
              <a:solidFill>
                <a:schemeClr val="accent2"/>
              </a:solidFill>
              <a:round/>
            </a:ln>
            <a:effectLst/>
          </c:spPr>
          <c:marker>
            <c:symbol val="none"/>
          </c:marker>
          <c:cat>
            <c:numRef>
              <c:f>'Raw Data'!$M$2:$M$19</c:f>
              <c:numCache>
                <c:formatCode>m/d/yy</c:formatCode>
                <c:ptCount val="18"/>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numCache>
            </c:numRef>
          </c:cat>
          <c:val>
            <c:numRef>
              <c:f>'Raw Data'!$O$2:$O$19</c:f>
              <c:numCache>
                <c:formatCode>General</c:formatCode>
                <c:ptCount val="18"/>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numCache>
            </c:numRef>
          </c:val>
          <c:smooth val="0"/>
          <c:extLst>
            <c:ext xmlns:c16="http://schemas.microsoft.com/office/drawing/2014/chart" uri="{C3380CC4-5D6E-409C-BE32-E72D297353CC}">
              <c16:uniqueId val="{00000001-DF0F-7343-BFAB-C78D46229E09}"/>
            </c:ext>
          </c:extLst>
        </c:ser>
        <c:ser>
          <c:idx val="2"/>
          <c:order val="2"/>
          <c:tx>
            <c:strRef>
              <c:f>'Raw Data'!$P$1</c:f>
              <c:strCache>
                <c:ptCount val="1"/>
                <c:pt idx="0">
                  <c:v>Average CFU</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'Raw Data'!$M$2:$M$19</c:f>
              <c:numCache>
                <c:formatCode>m/d/yy</c:formatCode>
                <c:ptCount val="18"/>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numCache>
            </c:numRef>
          </c:cat>
          <c:val>
            <c:numRef>
              <c:f>'Raw Data'!$P$2:$P$19</c:f>
              <c:numCache>
                <c:formatCode>0.0</c:formatCode>
                <c:ptCount val="18"/>
                <c:pt idx="0">
                  <c:v>3</c:v>
                </c:pt>
                <c:pt idx="1">
                  <c:v>3.5</c:v>
                </c:pt>
                <c:pt idx="2">
                  <c:v>11</c:v>
                </c:pt>
                <c:pt idx="3">
                  <c:v>3</c:v>
                </c:pt>
                <c:pt idx="4">
                  <c:v>8</c:v>
                </c:pt>
                <c:pt idx="5">
                  <c:v>2</c:v>
                </c:pt>
                <c:pt idx="6">
                  <c:v>5</c:v>
                </c:pt>
                <c:pt idx="7">
                  <c:v>1</c:v>
                </c:pt>
                <c:pt idx="8">
                  <c:v>12</c:v>
                </c:pt>
                <c:pt idx="9">
                  <c:v>4</c:v>
                </c:pt>
                <c:pt idx="10">
                  <c:v>3</c:v>
                </c:pt>
                <c:pt idx="11">
                  <c:v>6</c:v>
                </c:pt>
                <c:pt idx="12">
                  <c:v>7</c:v>
                </c:pt>
                <c:pt idx="13">
                  <c:v>0</c:v>
                </c:pt>
                <c:pt idx="14">
                  <c:v>2</c:v>
                </c:pt>
                <c:pt idx="15">
                  <c:v>11</c:v>
                </c:pt>
                <c:pt idx="16">
                  <c:v>4</c:v>
                </c:pt>
                <c:pt idx="17">
                  <c:v>3</c:v>
                </c:pt>
              </c:numCache>
            </c:numRef>
          </c:val>
          <c:smooth val="0"/>
          <c:extLst>
            <c:ext xmlns:c16="http://schemas.microsoft.com/office/drawing/2014/chart" uri="{C3380CC4-5D6E-409C-BE32-E72D297353CC}">
              <c16:uniqueId val="{00000002-DF0F-7343-BFAB-C78D46229E09}"/>
            </c:ext>
          </c:extLst>
        </c:ser>
        <c:dLbls>
          <c:showLegendKey val="0"/>
          <c:showVal val="0"/>
          <c:showCatName val="0"/>
          <c:showSerName val="0"/>
          <c:showPercent val="0"/>
          <c:showBubbleSize val="0"/>
        </c:dLbls>
        <c:smooth val="0"/>
        <c:axId val="534000288"/>
        <c:axId val="533752864"/>
      </c:lineChart>
      <c:dateAx>
        <c:axId val="53400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52864"/>
        <c:crosses val="autoZero"/>
        <c:auto val="1"/>
        <c:lblOffset val="100"/>
        <c:baseTimeUnit val="days"/>
      </c:dateAx>
      <c:valAx>
        <c:axId val="53375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CFU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0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 Monitoring Analysis.xlsx]PivotTable - Avg CFU by Room!PivotTable1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CFU</a:t>
            </a:r>
            <a:r>
              <a:rPr lang="en-US" baseline="0"/>
              <a:t> Count by Room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 Avg CFU by Room'!$B$3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 Avg CFU by Room'!$A$4:$A$8</c:f>
              <c:strCache>
                <c:ptCount val="4"/>
                <c:pt idx="0">
                  <c:v>ISO7-A</c:v>
                </c:pt>
                <c:pt idx="1">
                  <c:v>ISO7-B</c:v>
                </c:pt>
                <c:pt idx="2">
                  <c:v>ISO8-A</c:v>
                </c:pt>
                <c:pt idx="3">
                  <c:v>ISO8-B</c:v>
                </c:pt>
              </c:strCache>
            </c:strRef>
          </c:cat>
          <c:val>
            <c:numRef>
              <c:f>'PivotTable - Avg CFU by Room'!$B$4:$B$8</c:f>
              <c:numCache>
                <c:formatCode>General</c:formatCode>
                <c:ptCount val="4"/>
                <c:pt idx="0">
                  <c:v>4.5999999999999996</c:v>
                </c:pt>
                <c:pt idx="1">
                  <c:v>5</c:v>
                </c:pt>
                <c:pt idx="2">
                  <c:v>7.4</c:v>
                </c:pt>
                <c:pt idx="3">
                  <c:v>2</c:v>
                </c:pt>
              </c:numCache>
            </c:numRef>
          </c:val>
          <c:extLst>
            <c:ext xmlns:c16="http://schemas.microsoft.com/office/drawing/2014/chart" uri="{C3380CC4-5D6E-409C-BE32-E72D297353CC}">
              <c16:uniqueId val="{00000000-2296-5249-8CE8-A4427982328E}"/>
            </c:ext>
          </c:extLst>
        </c:ser>
        <c:dLbls>
          <c:dLblPos val="outEnd"/>
          <c:showLegendKey val="0"/>
          <c:showVal val="1"/>
          <c:showCatName val="0"/>
          <c:showSerName val="0"/>
          <c:showPercent val="0"/>
          <c:showBubbleSize val="0"/>
        </c:dLbls>
        <c:gapWidth val="219"/>
        <c:overlap val="-27"/>
        <c:axId val="359252384"/>
        <c:axId val="359031856"/>
      </c:barChart>
      <c:catAx>
        <c:axId val="35925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Room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031856"/>
        <c:crosses val="autoZero"/>
        <c:auto val="1"/>
        <c:lblAlgn val="ctr"/>
        <c:lblOffset val="100"/>
        <c:noMultiLvlLbl val="0"/>
      </c:catAx>
      <c:valAx>
        <c:axId val="359031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CFU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5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 Monitoring Analysis.xlsx]PivotTable - Avg CFU by Room!PivotTable1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CFU Count by Room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 Avg CFU by Room'!$B$3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 Avg CFU by Room'!$A$4:$A$8</c:f>
              <c:strCache>
                <c:ptCount val="4"/>
                <c:pt idx="0">
                  <c:v>ISO7-A</c:v>
                </c:pt>
                <c:pt idx="1">
                  <c:v>ISO7-B</c:v>
                </c:pt>
                <c:pt idx="2">
                  <c:v>ISO8-A</c:v>
                </c:pt>
                <c:pt idx="3">
                  <c:v>ISO8-B</c:v>
                </c:pt>
              </c:strCache>
            </c:strRef>
          </c:cat>
          <c:val>
            <c:numRef>
              <c:f>'PivotTable - Avg CFU by Room'!$B$4:$B$8</c:f>
              <c:numCache>
                <c:formatCode>General</c:formatCode>
                <c:ptCount val="4"/>
                <c:pt idx="0">
                  <c:v>4.5999999999999996</c:v>
                </c:pt>
                <c:pt idx="1">
                  <c:v>5</c:v>
                </c:pt>
                <c:pt idx="2">
                  <c:v>7.4</c:v>
                </c:pt>
                <c:pt idx="3">
                  <c:v>2</c:v>
                </c:pt>
              </c:numCache>
            </c:numRef>
          </c:val>
          <c:extLst>
            <c:ext xmlns:c16="http://schemas.microsoft.com/office/drawing/2014/chart" uri="{C3380CC4-5D6E-409C-BE32-E72D297353CC}">
              <c16:uniqueId val="{00000000-C17A-CC40-ADD4-38364E9B3122}"/>
            </c:ext>
          </c:extLst>
        </c:ser>
        <c:dLbls>
          <c:showLegendKey val="0"/>
          <c:showVal val="0"/>
          <c:showCatName val="0"/>
          <c:showSerName val="0"/>
          <c:showPercent val="0"/>
          <c:showBubbleSize val="0"/>
        </c:dLbls>
        <c:gapWidth val="219"/>
        <c:overlap val="-27"/>
        <c:axId val="1171550416"/>
        <c:axId val="1172205360"/>
      </c:barChart>
      <c:catAx>
        <c:axId val="117155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Room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205360"/>
        <c:crosses val="autoZero"/>
        <c:auto val="1"/>
        <c:lblAlgn val="ctr"/>
        <c:lblOffset val="100"/>
        <c:noMultiLvlLbl val="0"/>
      </c:catAx>
      <c:valAx>
        <c:axId val="117220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CFU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5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 Monitoring Analysis.xlsx]PivotTable 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CFU Count Over Time</a:t>
            </a:r>
          </a:p>
          <a:p>
            <a:pPr>
              <a:defRPr/>
            </a:pPr>
            <a:endParaRPr lang="en-US" baseline="0"/>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 2'!$A$4:$A$22</c:f>
              <c:strCache>
                <c:ptCount val="18"/>
                <c:pt idx="0">
                  <c:v>8/1/26</c:v>
                </c:pt>
                <c:pt idx="1">
                  <c:v>8/2/26</c:v>
                </c:pt>
                <c:pt idx="2">
                  <c:v>8/3/26</c:v>
                </c:pt>
                <c:pt idx="3">
                  <c:v>8/4/26</c:v>
                </c:pt>
                <c:pt idx="4">
                  <c:v>8/5/26</c:v>
                </c:pt>
                <c:pt idx="5">
                  <c:v>8/6/26</c:v>
                </c:pt>
                <c:pt idx="6">
                  <c:v>8/7/26</c:v>
                </c:pt>
                <c:pt idx="7">
                  <c:v>8/8/26</c:v>
                </c:pt>
                <c:pt idx="8">
                  <c:v>8/9/26</c:v>
                </c:pt>
                <c:pt idx="9">
                  <c:v>8/10/26</c:v>
                </c:pt>
                <c:pt idx="10">
                  <c:v>8/11/26</c:v>
                </c:pt>
                <c:pt idx="11">
                  <c:v>8/12/26</c:v>
                </c:pt>
                <c:pt idx="12">
                  <c:v>8/13/26</c:v>
                </c:pt>
                <c:pt idx="13">
                  <c:v>8/14/26</c:v>
                </c:pt>
                <c:pt idx="14">
                  <c:v>8/15/26</c:v>
                </c:pt>
                <c:pt idx="15">
                  <c:v>8/16/26</c:v>
                </c:pt>
                <c:pt idx="16">
                  <c:v>8/17/26</c:v>
                </c:pt>
                <c:pt idx="17">
                  <c:v>8/18/26</c:v>
                </c:pt>
              </c:strCache>
            </c:strRef>
          </c:cat>
          <c:val>
            <c:numRef>
              <c:f>'PivotTable 2'!$B$4:$B$22</c:f>
              <c:numCache>
                <c:formatCode>General</c:formatCode>
                <c:ptCount val="18"/>
                <c:pt idx="0">
                  <c:v>3</c:v>
                </c:pt>
                <c:pt idx="1">
                  <c:v>3.5</c:v>
                </c:pt>
                <c:pt idx="2">
                  <c:v>11</c:v>
                </c:pt>
                <c:pt idx="3">
                  <c:v>3</c:v>
                </c:pt>
                <c:pt idx="4">
                  <c:v>8</c:v>
                </c:pt>
                <c:pt idx="5">
                  <c:v>2</c:v>
                </c:pt>
                <c:pt idx="6">
                  <c:v>5</c:v>
                </c:pt>
                <c:pt idx="7">
                  <c:v>1</c:v>
                </c:pt>
                <c:pt idx="8">
                  <c:v>12</c:v>
                </c:pt>
                <c:pt idx="9">
                  <c:v>4</c:v>
                </c:pt>
                <c:pt idx="10">
                  <c:v>3</c:v>
                </c:pt>
                <c:pt idx="11">
                  <c:v>6</c:v>
                </c:pt>
                <c:pt idx="12">
                  <c:v>7</c:v>
                </c:pt>
                <c:pt idx="13">
                  <c:v>0</c:v>
                </c:pt>
                <c:pt idx="14">
                  <c:v>2</c:v>
                </c:pt>
                <c:pt idx="15">
                  <c:v>11</c:v>
                </c:pt>
                <c:pt idx="16">
                  <c:v>4</c:v>
                </c:pt>
                <c:pt idx="17">
                  <c:v>3</c:v>
                </c:pt>
              </c:numCache>
            </c:numRef>
          </c:val>
          <c:smooth val="0"/>
          <c:extLst>
            <c:ext xmlns:c16="http://schemas.microsoft.com/office/drawing/2014/chart" uri="{C3380CC4-5D6E-409C-BE32-E72D297353CC}">
              <c16:uniqueId val="{00000000-902E-2C4F-A01B-F10443985276}"/>
            </c:ext>
          </c:extLst>
        </c:ser>
        <c:dLbls>
          <c:showLegendKey val="0"/>
          <c:showVal val="0"/>
          <c:showCatName val="0"/>
          <c:showSerName val="0"/>
          <c:showPercent val="0"/>
          <c:showBubbleSize val="0"/>
        </c:dLbls>
        <c:marker val="1"/>
        <c:smooth val="0"/>
        <c:axId val="580827967"/>
        <c:axId val="856878623"/>
      </c:lineChart>
      <c:catAx>
        <c:axId val="580827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878623"/>
        <c:crosses val="autoZero"/>
        <c:auto val="1"/>
        <c:lblAlgn val="ctr"/>
        <c:lblOffset val="100"/>
        <c:noMultiLvlLbl val="0"/>
      </c:catAx>
      <c:valAx>
        <c:axId val="856878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CFU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2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 Monitoring Analysis.xlsx]PivotTable - Avg CFU by Room!PivotTable1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CFU Count by Room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 Avg CFU by Room'!$B$3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 Avg CFU by Room'!$A$4:$A$8</c:f>
              <c:strCache>
                <c:ptCount val="4"/>
                <c:pt idx="0">
                  <c:v>ISO7-A</c:v>
                </c:pt>
                <c:pt idx="1">
                  <c:v>ISO7-B</c:v>
                </c:pt>
                <c:pt idx="2">
                  <c:v>ISO8-A</c:v>
                </c:pt>
                <c:pt idx="3">
                  <c:v>ISO8-B</c:v>
                </c:pt>
              </c:strCache>
            </c:strRef>
          </c:cat>
          <c:val>
            <c:numRef>
              <c:f>'PivotTable - Avg CFU by Room'!$B$4:$B$8</c:f>
              <c:numCache>
                <c:formatCode>General</c:formatCode>
                <c:ptCount val="4"/>
                <c:pt idx="0">
                  <c:v>4.5999999999999996</c:v>
                </c:pt>
                <c:pt idx="1">
                  <c:v>5</c:v>
                </c:pt>
                <c:pt idx="2">
                  <c:v>7.4</c:v>
                </c:pt>
                <c:pt idx="3">
                  <c:v>2</c:v>
                </c:pt>
              </c:numCache>
            </c:numRef>
          </c:val>
          <c:extLst>
            <c:ext xmlns:c16="http://schemas.microsoft.com/office/drawing/2014/chart" uri="{C3380CC4-5D6E-409C-BE32-E72D297353CC}">
              <c16:uniqueId val="{00000000-A429-364A-B14A-B061C12CA0F6}"/>
            </c:ext>
          </c:extLst>
        </c:ser>
        <c:dLbls>
          <c:showLegendKey val="0"/>
          <c:showVal val="0"/>
          <c:showCatName val="0"/>
          <c:showSerName val="0"/>
          <c:showPercent val="0"/>
          <c:showBubbleSize val="0"/>
        </c:dLbls>
        <c:gapWidth val="219"/>
        <c:overlap val="-27"/>
        <c:axId val="1171550416"/>
        <c:axId val="1172205360"/>
      </c:barChart>
      <c:catAx>
        <c:axId val="117155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Room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205360"/>
        <c:crosses val="autoZero"/>
        <c:auto val="1"/>
        <c:lblAlgn val="ctr"/>
        <c:lblOffset val="100"/>
        <c:noMultiLvlLbl val="0"/>
      </c:catAx>
      <c:valAx>
        <c:axId val="117220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CFU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5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Environmental Monitoring</a:t>
            </a:r>
            <a:r>
              <a:rPr lang="en-US" baseline="0"/>
              <a:t> CFU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 Data'!$N$1</c:f>
              <c:strCache>
                <c:ptCount val="1"/>
                <c:pt idx="0">
                  <c:v>Alert Limit</c:v>
                </c:pt>
              </c:strCache>
            </c:strRef>
          </c:tx>
          <c:spPr>
            <a:ln w="28575" cap="rnd">
              <a:solidFill>
                <a:schemeClr val="accent1"/>
              </a:solidFill>
              <a:round/>
            </a:ln>
            <a:effectLst/>
          </c:spPr>
          <c:marker>
            <c:symbol val="none"/>
          </c:marker>
          <c:cat>
            <c:numRef>
              <c:f>'Raw Data'!$M$2:$M$19</c:f>
              <c:numCache>
                <c:formatCode>m/d/yy</c:formatCode>
                <c:ptCount val="18"/>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numCache>
            </c:numRef>
          </c:cat>
          <c:val>
            <c:numRef>
              <c:f>'Raw Data'!$N$2:$N$19</c:f>
              <c:numCache>
                <c:formatCode>General</c:formatCode>
                <c:ptCount val="1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numCache>
            </c:numRef>
          </c:val>
          <c:smooth val="0"/>
          <c:extLst>
            <c:ext xmlns:c16="http://schemas.microsoft.com/office/drawing/2014/chart" uri="{C3380CC4-5D6E-409C-BE32-E72D297353CC}">
              <c16:uniqueId val="{00000000-BEFD-3D40-ADDD-317D78608401}"/>
            </c:ext>
          </c:extLst>
        </c:ser>
        <c:ser>
          <c:idx val="1"/>
          <c:order val="1"/>
          <c:tx>
            <c:strRef>
              <c:f>'Raw Data'!$O$1</c:f>
              <c:strCache>
                <c:ptCount val="1"/>
                <c:pt idx="0">
                  <c:v>Action Limit</c:v>
                </c:pt>
              </c:strCache>
            </c:strRef>
          </c:tx>
          <c:spPr>
            <a:ln w="28575" cap="rnd">
              <a:solidFill>
                <a:schemeClr val="accent2"/>
              </a:solidFill>
              <a:round/>
            </a:ln>
            <a:effectLst/>
          </c:spPr>
          <c:marker>
            <c:symbol val="none"/>
          </c:marker>
          <c:cat>
            <c:numRef>
              <c:f>'Raw Data'!$M$2:$M$19</c:f>
              <c:numCache>
                <c:formatCode>m/d/yy</c:formatCode>
                <c:ptCount val="18"/>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numCache>
            </c:numRef>
          </c:cat>
          <c:val>
            <c:numRef>
              <c:f>'Raw Data'!$O$2:$O$19</c:f>
              <c:numCache>
                <c:formatCode>General</c:formatCode>
                <c:ptCount val="18"/>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numCache>
            </c:numRef>
          </c:val>
          <c:smooth val="0"/>
          <c:extLst>
            <c:ext xmlns:c16="http://schemas.microsoft.com/office/drawing/2014/chart" uri="{C3380CC4-5D6E-409C-BE32-E72D297353CC}">
              <c16:uniqueId val="{00000001-BEFD-3D40-ADDD-317D78608401}"/>
            </c:ext>
          </c:extLst>
        </c:ser>
        <c:ser>
          <c:idx val="2"/>
          <c:order val="2"/>
          <c:tx>
            <c:strRef>
              <c:f>'Raw Data'!$P$1</c:f>
              <c:strCache>
                <c:ptCount val="1"/>
                <c:pt idx="0">
                  <c:v>Average CFU</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4-BEFD-3D40-ADDD-317D78608401}"/>
                </c:ext>
              </c:extLst>
            </c:dLbl>
            <c:dLbl>
              <c:idx val="1"/>
              <c:delete val="1"/>
              <c:extLst>
                <c:ext xmlns:c15="http://schemas.microsoft.com/office/drawing/2012/chart" uri="{CE6537A1-D6FC-4f65-9D91-7224C49458BB}"/>
                <c:ext xmlns:c16="http://schemas.microsoft.com/office/drawing/2014/chart" uri="{C3380CC4-5D6E-409C-BE32-E72D297353CC}">
                  <c16:uniqueId val="{00000005-BEFD-3D40-ADDD-317D78608401}"/>
                </c:ext>
              </c:extLst>
            </c:dLbl>
            <c:dLbl>
              <c:idx val="3"/>
              <c:delete val="1"/>
              <c:extLst>
                <c:ext xmlns:c15="http://schemas.microsoft.com/office/drawing/2012/chart" uri="{CE6537A1-D6FC-4f65-9D91-7224C49458BB}"/>
                <c:ext xmlns:c16="http://schemas.microsoft.com/office/drawing/2014/chart" uri="{C3380CC4-5D6E-409C-BE32-E72D297353CC}">
                  <c16:uniqueId val="{00000006-BEFD-3D40-ADDD-317D78608401}"/>
                </c:ext>
              </c:extLst>
            </c:dLbl>
            <c:dLbl>
              <c:idx val="4"/>
              <c:delete val="1"/>
              <c:extLst>
                <c:ext xmlns:c15="http://schemas.microsoft.com/office/drawing/2012/chart" uri="{CE6537A1-D6FC-4f65-9D91-7224C49458BB}"/>
                <c:ext xmlns:c16="http://schemas.microsoft.com/office/drawing/2014/chart" uri="{C3380CC4-5D6E-409C-BE32-E72D297353CC}">
                  <c16:uniqueId val="{00000007-BEFD-3D40-ADDD-317D78608401}"/>
                </c:ext>
              </c:extLst>
            </c:dLbl>
            <c:dLbl>
              <c:idx val="5"/>
              <c:delete val="1"/>
              <c:extLst>
                <c:ext xmlns:c15="http://schemas.microsoft.com/office/drawing/2012/chart" uri="{CE6537A1-D6FC-4f65-9D91-7224C49458BB}"/>
                <c:ext xmlns:c16="http://schemas.microsoft.com/office/drawing/2014/chart" uri="{C3380CC4-5D6E-409C-BE32-E72D297353CC}">
                  <c16:uniqueId val="{00000009-BEFD-3D40-ADDD-317D78608401}"/>
                </c:ext>
              </c:extLst>
            </c:dLbl>
            <c:dLbl>
              <c:idx val="6"/>
              <c:delete val="1"/>
              <c:extLst>
                <c:ext xmlns:c15="http://schemas.microsoft.com/office/drawing/2012/chart" uri="{CE6537A1-D6FC-4f65-9D91-7224C49458BB}"/>
                <c:ext xmlns:c16="http://schemas.microsoft.com/office/drawing/2014/chart" uri="{C3380CC4-5D6E-409C-BE32-E72D297353CC}">
                  <c16:uniqueId val="{00000008-BEFD-3D40-ADDD-317D78608401}"/>
                </c:ext>
              </c:extLst>
            </c:dLbl>
            <c:dLbl>
              <c:idx val="7"/>
              <c:delete val="1"/>
              <c:extLst>
                <c:ext xmlns:c15="http://schemas.microsoft.com/office/drawing/2012/chart" uri="{CE6537A1-D6FC-4f65-9D91-7224C49458BB}"/>
                <c:ext xmlns:c16="http://schemas.microsoft.com/office/drawing/2014/chart" uri="{C3380CC4-5D6E-409C-BE32-E72D297353CC}">
                  <c16:uniqueId val="{0000000A-BEFD-3D40-ADDD-317D78608401}"/>
                </c:ext>
              </c:extLst>
            </c:dLbl>
            <c:dLbl>
              <c:idx val="9"/>
              <c:delete val="1"/>
              <c:extLst>
                <c:ext xmlns:c15="http://schemas.microsoft.com/office/drawing/2012/chart" uri="{CE6537A1-D6FC-4f65-9D91-7224C49458BB}"/>
                <c:ext xmlns:c16="http://schemas.microsoft.com/office/drawing/2014/chart" uri="{C3380CC4-5D6E-409C-BE32-E72D297353CC}">
                  <c16:uniqueId val="{0000000B-BEFD-3D40-ADDD-317D78608401}"/>
                </c:ext>
              </c:extLst>
            </c:dLbl>
            <c:dLbl>
              <c:idx val="10"/>
              <c:delete val="1"/>
              <c:extLst>
                <c:ext xmlns:c15="http://schemas.microsoft.com/office/drawing/2012/chart" uri="{CE6537A1-D6FC-4f65-9D91-7224C49458BB}"/>
                <c:ext xmlns:c16="http://schemas.microsoft.com/office/drawing/2014/chart" uri="{C3380CC4-5D6E-409C-BE32-E72D297353CC}">
                  <c16:uniqueId val="{0000000C-BEFD-3D40-ADDD-317D78608401}"/>
                </c:ext>
              </c:extLst>
            </c:dLbl>
            <c:dLbl>
              <c:idx val="11"/>
              <c:delete val="1"/>
              <c:extLst>
                <c:ext xmlns:c15="http://schemas.microsoft.com/office/drawing/2012/chart" uri="{CE6537A1-D6FC-4f65-9D91-7224C49458BB}"/>
                <c:ext xmlns:c16="http://schemas.microsoft.com/office/drawing/2014/chart" uri="{C3380CC4-5D6E-409C-BE32-E72D297353CC}">
                  <c16:uniqueId val="{0000000D-BEFD-3D40-ADDD-317D78608401}"/>
                </c:ext>
              </c:extLst>
            </c:dLbl>
            <c:dLbl>
              <c:idx val="12"/>
              <c:delete val="1"/>
              <c:extLst>
                <c:ext xmlns:c15="http://schemas.microsoft.com/office/drawing/2012/chart" uri="{CE6537A1-D6FC-4f65-9D91-7224C49458BB}"/>
                <c:ext xmlns:c16="http://schemas.microsoft.com/office/drawing/2014/chart" uri="{C3380CC4-5D6E-409C-BE32-E72D297353CC}">
                  <c16:uniqueId val="{0000000E-BEFD-3D40-ADDD-317D78608401}"/>
                </c:ext>
              </c:extLst>
            </c:dLbl>
            <c:dLbl>
              <c:idx val="13"/>
              <c:delete val="1"/>
              <c:extLst>
                <c:ext xmlns:c15="http://schemas.microsoft.com/office/drawing/2012/chart" uri="{CE6537A1-D6FC-4f65-9D91-7224C49458BB}"/>
                <c:ext xmlns:c16="http://schemas.microsoft.com/office/drawing/2014/chart" uri="{C3380CC4-5D6E-409C-BE32-E72D297353CC}">
                  <c16:uniqueId val="{0000000F-BEFD-3D40-ADDD-317D78608401}"/>
                </c:ext>
              </c:extLst>
            </c:dLbl>
            <c:dLbl>
              <c:idx val="14"/>
              <c:delete val="1"/>
              <c:extLst>
                <c:ext xmlns:c15="http://schemas.microsoft.com/office/drawing/2012/chart" uri="{CE6537A1-D6FC-4f65-9D91-7224C49458BB}"/>
                <c:ext xmlns:c16="http://schemas.microsoft.com/office/drawing/2014/chart" uri="{C3380CC4-5D6E-409C-BE32-E72D297353CC}">
                  <c16:uniqueId val="{00000010-BEFD-3D40-ADDD-317D78608401}"/>
                </c:ext>
              </c:extLst>
            </c:dLbl>
            <c:dLbl>
              <c:idx val="16"/>
              <c:delete val="1"/>
              <c:extLst>
                <c:ext xmlns:c15="http://schemas.microsoft.com/office/drawing/2012/chart" uri="{CE6537A1-D6FC-4f65-9D91-7224C49458BB}"/>
                <c:ext xmlns:c16="http://schemas.microsoft.com/office/drawing/2014/chart" uri="{C3380CC4-5D6E-409C-BE32-E72D297353CC}">
                  <c16:uniqueId val="{00000011-BEFD-3D40-ADDD-317D78608401}"/>
                </c:ext>
              </c:extLst>
            </c:dLbl>
            <c:dLbl>
              <c:idx val="17"/>
              <c:delete val="1"/>
              <c:extLst>
                <c:ext xmlns:c15="http://schemas.microsoft.com/office/drawing/2012/chart" uri="{CE6537A1-D6FC-4f65-9D91-7224C49458BB}"/>
                <c:ext xmlns:c16="http://schemas.microsoft.com/office/drawing/2014/chart" uri="{C3380CC4-5D6E-409C-BE32-E72D297353CC}">
                  <c16:uniqueId val="{00000012-BEFD-3D40-ADDD-317D786084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'Raw Data'!$M$2:$M$19</c:f>
              <c:numCache>
                <c:formatCode>m/d/yy</c:formatCode>
                <c:ptCount val="18"/>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numCache>
            </c:numRef>
          </c:cat>
          <c:val>
            <c:numRef>
              <c:f>'Raw Data'!$P$2:$P$19</c:f>
              <c:numCache>
                <c:formatCode>0.0</c:formatCode>
                <c:ptCount val="18"/>
                <c:pt idx="0">
                  <c:v>3</c:v>
                </c:pt>
                <c:pt idx="1">
                  <c:v>3.5</c:v>
                </c:pt>
                <c:pt idx="2">
                  <c:v>11</c:v>
                </c:pt>
                <c:pt idx="3">
                  <c:v>3</c:v>
                </c:pt>
                <c:pt idx="4">
                  <c:v>8</c:v>
                </c:pt>
                <c:pt idx="5">
                  <c:v>2</c:v>
                </c:pt>
                <c:pt idx="6">
                  <c:v>5</c:v>
                </c:pt>
                <c:pt idx="7">
                  <c:v>1</c:v>
                </c:pt>
                <c:pt idx="8">
                  <c:v>12</c:v>
                </c:pt>
                <c:pt idx="9">
                  <c:v>4</c:v>
                </c:pt>
                <c:pt idx="10">
                  <c:v>3</c:v>
                </c:pt>
                <c:pt idx="11">
                  <c:v>6</c:v>
                </c:pt>
                <c:pt idx="12">
                  <c:v>7</c:v>
                </c:pt>
                <c:pt idx="13">
                  <c:v>0</c:v>
                </c:pt>
                <c:pt idx="14">
                  <c:v>2</c:v>
                </c:pt>
                <c:pt idx="15">
                  <c:v>11</c:v>
                </c:pt>
                <c:pt idx="16">
                  <c:v>4</c:v>
                </c:pt>
                <c:pt idx="17">
                  <c:v>3</c:v>
                </c:pt>
              </c:numCache>
            </c:numRef>
          </c:val>
          <c:smooth val="0"/>
          <c:extLst>
            <c:ext xmlns:c16="http://schemas.microsoft.com/office/drawing/2014/chart" uri="{C3380CC4-5D6E-409C-BE32-E72D297353CC}">
              <c16:uniqueId val="{00000002-BEFD-3D40-ADDD-317D78608401}"/>
            </c:ext>
          </c:extLst>
        </c:ser>
        <c:dLbls>
          <c:showLegendKey val="0"/>
          <c:showVal val="0"/>
          <c:showCatName val="0"/>
          <c:showSerName val="0"/>
          <c:showPercent val="0"/>
          <c:showBubbleSize val="0"/>
        </c:dLbls>
        <c:smooth val="0"/>
        <c:axId val="534000288"/>
        <c:axId val="533752864"/>
      </c:lineChart>
      <c:dateAx>
        <c:axId val="53400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52864"/>
        <c:crosses val="autoZero"/>
        <c:auto val="1"/>
        <c:lblOffset val="100"/>
        <c:baseTimeUnit val="days"/>
      </c:dateAx>
      <c:valAx>
        <c:axId val="53375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CFU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0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16</xdr:col>
      <xdr:colOff>660692</xdr:colOff>
      <xdr:row>4</xdr:row>
      <xdr:rowOff>198206</xdr:rowOff>
    </xdr:from>
    <xdr:to>
      <xdr:col>23</xdr:col>
      <xdr:colOff>660694</xdr:colOff>
      <xdr:row>23</xdr:row>
      <xdr:rowOff>198208</xdr:rowOff>
    </xdr:to>
    <xdr:graphicFrame macro="">
      <xdr:nvGraphicFramePr>
        <xdr:cNvPr id="2" name="Chart 1">
          <a:extLst>
            <a:ext uri="{FF2B5EF4-FFF2-40B4-BE49-F238E27FC236}">
              <a16:creationId xmlns:a16="http://schemas.microsoft.com/office/drawing/2014/main" id="{47C8750E-EFF0-C64E-05E1-4285AE849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393700</xdr:colOff>
      <xdr:row>15</xdr:row>
      <xdr:rowOff>12700</xdr:rowOff>
    </xdr:from>
    <xdr:to>
      <xdr:col>5</xdr:col>
      <xdr:colOff>482600</xdr:colOff>
      <xdr:row>28</xdr:row>
      <xdr:rowOff>114300</xdr:rowOff>
    </xdr:to>
    <xdr:graphicFrame macro="">
      <xdr:nvGraphicFramePr>
        <xdr:cNvPr id="2" name="Chart 1">
          <a:extLst>
            <a:ext uri="{FF2B5EF4-FFF2-40B4-BE49-F238E27FC236}">
              <a16:creationId xmlns:a16="http://schemas.microsoft.com/office/drawing/2014/main" id="{1BB56B02-7A25-E8DB-46C0-3B91F60A2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393700</xdr:colOff>
      <xdr:row>15</xdr:row>
      <xdr:rowOff>12700</xdr:rowOff>
    </xdr:from>
    <xdr:to>
      <xdr:col>5</xdr:col>
      <xdr:colOff>482600</xdr:colOff>
      <xdr:row>28</xdr:row>
      <xdr:rowOff>114300</xdr:rowOff>
    </xdr:to>
    <xdr:graphicFrame macro="">
      <xdr:nvGraphicFramePr>
        <xdr:cNvPr id="3" name="Chart 2">
          <a:extLst>
            <a:ext uri="{FF2B5EF4-FFF2-40B4-BE49-F238E27FC236}">
              <a16:creationId xmlns:a16="http://schemas.microsoft.com/office/drawing/2014/main" id="{6C6E176C-99DA-5E9B-D7FD-54BE49C78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381000</xdr:colOff>
      <xdr:row>16</xdr:row>
      <xdr:rowOff>0</xdr:rowOff>
    </xdr:from>
    <xdr:to>
      <xdr:col>6</xdr:col>
      <xdr:colOff>558800</xdr:colOff>
      <xdr:row>28</xdr:row>
      <xdr:rowOff>180972</xdr:rowOff>
    </xdr:to>
    <mc:AlternateContent xmlns:mc="http://schemas.openxmlformats.org/markup-compatibility/2006">
      <mc:Choice xmlns:a14="http://schemas.microsoft.com/office/drawing/2010/main" Requires="a14">
        <xdr:graphicFrame macro="">
          <xdr:nvGraphicFramePr>
            <xdr:cNvPr id="4" name="Room">
              <a:extLst>
                <a:ext uri="{FF2B5EF4-FFF2-40B4-BE49-F238E27FC236}">
                  <a16:creationId xmlns:a16="http://schemas.microsoft.com/office/drawing/2014/main" id="{6651DFC5-54AB-CF3F-2040-3AAAE4468578}"/>
                </a:ext>
              </a:extLst>
            </xdr:cNvPr>
            <xdr:cNvGraphicFramePr/>
          </xdr:nvGraphicFramePr>
          <xdr:xfrm>
            <a:off x="0" y="0"/>
            <a:ext cx="0" cy="0"/>
          </xdr:xfrm>
          <a:graphic>
            <a:graphicData uri="http://schemas.microsoft.com/office/drawing/2010/slicer">
              <sle:slicer xmlns:sle="http://schemas.microsoft.com/office/drawing/2010/slicer" name="Room"/>
            </a:graphicData>
          </a:graphic>
        </xdr:graphicFrame>
      </mc:Choice>
      <mc:Fallback>
        <xdr:sp macro="" textlink="">
          <xdr:nvSpPr>
            <xdr:cNvPr id="0" name=""/>
            <xdr:cNvSpPr>
              <a:spLocks noTextEdit="1"/>
            </xdr:cNvSpPr>
          </xdr:nvSpPr>
          <xdr:spPr>
            <a:xfrm>
              <a:off x="5029200" y="3251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558800</xdr:colOff>
      <xdr:row>22</xdr:row>
      <xdr:rowOff>165100</xdr:rowOff>
    </xdr:from>
    <xdr:to>
      <xdr:col>6</xdr:col>
      <xdr:colOff>330200</xdr:colOff>
      <xdr:row>36</xdr:row>
      <xdr:rowOff>63500</xdr:rowOff>
    </xdr:to>
    <xdr:graphicFrame macro="">
      <xdr:nvGraphicFramePr>
        <xdr:cNvPr id="4" name="Chart 3">
          <a:extLst>
            <a:ext uri="{FF2B5EF4-FFF2-40B4-BE49-F238E27FC236}">
              <a16:creationId xmlns:a16="http://schemas.microsoft.com/office/drawing/2014/main" id="{C8623DAB-5F1E-9044-2C70-6D1D098FA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10</xdr:row>
      <xdr:rowOff>25400</xdr:rowOff>
    </xdr:from>
    <xdr:to>
      <xdr:col>4</xdr:col>
      <xdr:colOff>129823</xdr:colOff>
      <xdr:row>23</xdr:row>
      <xdr:rowOff>118847</xdr:rowOff>
    </xdr:to>
    <xdr:graphicFrame macro="">
      <xdr:nvGraphicFramePr>
        <xdr:cNvPr id="2" name="Chart 1">
          <a:extLst>
            <a:ext uri="{FF2B5EF4-FFF2-40B4-BE49-F238E27FC236}">
              <a16:creationId xmlns:a16="http://schemas.microsoft.com/office/drawing/2014/main" id="{27C9E433-E562-D945-A88D-DDD23107A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719039</xdr:colOff>
      <xdr:row>10</xdr:row>
      <xdr:rowOff>28380</xdr:rowOff>
    </xdr:from>
    <xdr:to>
      <xdr:col>9</xdr:col>
      <xdr:colOff>762001</xdr:colOff>
      <xdr:row>23</xdr:row>
      <xdr:rowOff>80434</xdr:rowOff>
    </xdr:to>
    <xdr:graphicFrame macro="">
      <xdr:nvGraphicFramePr>
        <xdr:cNvPr id="3" name="Chart 2">
          <a:extLst>
            <a:ext uri="{FF2B5EF4-FFF2-40B4-BE49-F238E27FC236}">
              <a16:creationId xmlns:a16="http://schemas.microsoft.com/office/drawing/2014/main" id="{17F1291A-DC91-CE4C-96A9-CCAB382C8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12700</xdr:colOff>
      <xdr:row>5</xdr:row>
      <xdr:rowOff>38100</xdr:rowOff>
    </xdr:from>
    <xdr:to>
      <xdr:col>4</xdr:col>
      <xdr:colOff>139700</xdr:colOff>
      <xdr:row>8</xdr:row>
      <xdr:rowOff>127000</xdr:rowOff>
    </xdr:to>
    <mc:AlternateContent xmlns:mc="http://schemas.openxmlformats.org/markup-compatibility/2006">
      <mc:Choice xmlns:a14="http://schemas.microsoft.com/office/drawing/2010/main" Requires="a14">
        <xdr:graphicFrame macro="">
          <xdr:nvGraphicFramePr>
            <xdr:cNvPr id="4" name="Room 1">
              <a:extLst>
                <a:ext uri="{FF2B5EF4-FFF2-40B4-BE49-F238E27FC236}">
                  <a16:creationId xmlns:a16="http://schemas.microsoft.com/office/drawing/2014/main" id="{7CEC9826-0FD4-2A4B-B3D0-BE7721AF050B}"/>
                </a:ext>
              </a:extLst>
            </xdr:cNvPr>
            <xdr:cNvGraphicFramePr/>
          </xdr:nvGraphicFramePr>
          <xdr:xfrm>
            <a:off x="0" y="0"/>
            <a:ext cx="0" cy="0"/>
          </xdr:xfrm>
          <a:graphic>
            <a:graphicData uri="http://schemas.microsoft.com/office/drawing/2010/slicer">
              <sle:slicer xmlns:sle="http://schemas.microsoft.com/office/drawing/2010/slicer" name="Room 1"/>
            </a:graphicData>
          </a:graphic>
        </xdr:graphicFrame>
      </mc:Choice>
      <mc:Fallback>
        <xdr:sp macro="" textlink="">
          <xdr:nvSpPr>
            <xdr:cNvPr id="0" name=""/>
            <xdr:cNvSpPr>
              <a:spLocks noTextEdit="1"/>
            </xdr:cNvSpPr>
          </xdr:nvSpPr>
          <xdr:spPr>
            <a:xfrm>
              <a:off x="12700" y="1257300"/>
              <a:ext cx="3695700" cy="698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75.379673148149" createdVersion="8" refreshedVersion="8" minRefreshableVersion="3" recordCount="20" xr:uid="{14EE60FC-2428-F347-8915-074D00D3F347}">
  <cacheSource type="worksheet">
    <worksheetSource name="Table1"/>
  </cacheSource>
  <cacheFields count="8">
    <cacheField name="Sample_ID" numFmtId="0">
      <sharedItems/>
    </cacheField>
    <cacheField name="Date" numFmtId="14">
      <sharedItems containsSemiMixedTypes="0" containsNonDate="0" containsDate="1" containsString="0" minDate="2026-08-01T00:00:00" maxDate="2026-08-19T00:00:00" count="18">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sharedItems>
    </cacheField>
    <cacheField name="Room" numFmtId="0">
      <sharedItems count="4">
        <s v="ISO7-A"/>
        <s v="ISO7-B"/>
        <s v="ISO8-A"/>
        <s v="ISO8-B"/>
      </sharedItems>
    </cacheField>
    <cacheField name="Sample_Type" numFmtId="0">
      <sharedItems count="2">
        <s v="Air"/>
        <s v="Surface"/>
      </sharedItems>
    </cacheField>
    <cacheField name="CFU_Count" numFmtId="0">
      <sharedItems containsSemiMixedTypes="0" containsString="0" containsNumber="1" containsInteger="1" minValue="0" maxValue="12"/>
    </cacheField>
    <cacheField name="Alert_Limit" numFmtId="0">
      <sharedItems containsSemiMixedTypes="0" containsString="0" containsNumber="1" containsInteger="1" minValue="5" maxValue="5"/>
    </cacheField>
    <cacheField name="Action_Limit" numFmtId="0">
      <sharedItems containsSemiMixedTypes="0" containsString="0" containsNumber="1" containsInteger="1" minValue="10" maxValue="10"/>
    </cacheField>
    <cacheField name="Status" numFmtId="0">
      <sharedItems/>
    </cacheField>
  </cacheFields>
  <extLst>
    <ext xmlns:x14="http://schemas.microsoft.com/office/spreadsheetml/2009/9/main" uri="{725AE2AE-9491-48be-B2B4-4EB974FC3084}">
      <x14:pivotCacheDefinition pivotCacheId="694189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EM-001"/>
    <x v="0"/>
    <x v="0"/>
    <x v="0"/>
    <n v="2"/>
    <n v="5"/>
    <n v="10"/>
    <s v="Within Limit"/>
  </r>
  <r>
    <s v="EM-002"/>
    <x v="0"/>
    <x v="1"/>
    <x v="1"/>
    <n v="4"/>
    <n v="5"/>
    <n v="10"/>
    <s v="Within Limit"/>
  </r>
  <r>
    <s v="EM-003"/>
    <x v="1"/>
    <x v="2"/>
    <x v="0"/>
    <n v="6"/>
    <n v="5"/>
    <n v="10"/>
    <s v="Alert"/>
  </r>
  <r>
    <s v="EM-004"/>
    <x v="1"/>
    <x v="3"/>
    <x v="1"/>
    <n v="1"/>
    <n v="5"/>
    <n v="10"/>
    <s v="Within Limit"/>
  </r>
  <r>
    <s v="EM-005"/>
    <x v="2"/>
    <x v="0"/>
    <x v="0"/>
    <n v="11"/>
    <n v="5"/>
    <n v="10"/>
    <s v="Action"/>
  </r>
  <r>
    <s v="EM-006"/>
    <x v="3"/>
    <x v="1"/>
    <x v="0"/>
    <n v="3"/>
    <n v="5"/>
    <n v="10"/>
    <s v="Within Limit"/>
  </r>
  <r>
    <s v="EM-007"/>
    <x v="4"/>
    <x v="2"/>
    <x v="1"/>
    <n v="8"/>
    <n v="5"/>
    <n v="10"/>
    <s v="Alert"/>
  </r>
  <r>
    <s v="EM-008"/>
    <x v="5"/>
    <x v="3"/>
    <x v="0"/>
    <n v="2"/>
    <n v="5"/>
    <n v="10"/>
    <s v="Within Limit"/>
  </r>
  <r>
    <s v="EM-009"/>
    <x v="6"/>
    <x v="0"/>
    <x v="1"/>
    <n v="5"/>
    <n v="5"/>
    <n v="10"/>
    <s v="Alert"/>
  </r>
  <r>
    <s v="EM-010"/>
    <x v="7"/>
    <x v="1"/>
    <x v="1"/>
    <n v="1"/>
    <n v="5"/>
    <n v="10"/>
    <s v="Within Limit"/>
  </r>
  <r>
    <s v="EM-011"/>
    <x v="8"/>
    <x v="2"/>
    <x v="0"/>
    <n v="12"/>
    <n v="5"/>
    <n v="10"/>
    <s v="Action"/>
  </r>
  <r>
    <s v="EM-012"/>
    <x v="9"/>
    <x v="3"/>
    <x v="1"/>
    <n v="4"/>
    <n v="5"/>
    <n v="10"/>
    <s v="Within Limit"/>
  </r>
  <r>
    <s v="EM-013"/>
    <x v="10"/>
    <x v="0"/>
    <x v="0"/>
    <n v="3"/>
    <n v="5"/>
    <n v="10"/>
    <s v="Within Limit"/>
  </r>
  <r>
    <s v="EM-014"/>
    <x v="11"/>
    <x v="1"/>
    <x v="0"/>
    <n v="6"/>
    <n v="5"/>
    <n v="10"/>
    <s v="Alert"/>
  </r>
  <r>
    <s v="EM-015"/>
    <x v="12"/>
    <x v="2"/>
    <x v="1"/>
    <n v="7"/>
    <n v="5"/>
    <n v="10"/>
    <s v="Alert"/>
  </r>
  <r>
    <s v="EM-016"/>
    <x v="13"/>
    <x v="3"/>
    <x v="0"/>
    <n v="0"/>
    <n v="5"/>
    <n v="10"/>
    <s v="Within Limit"/>
  </r>
  <r>
    <s v="EM-017"/>
    <x v="14"/>
    <x v="0"/>
    <x v="1"/>
    <n v="2"/>
    <n v="5"/>
    <n v="10"/>
    <s v="Within Limit"/>
  </r>
  <r>
    <s v="EM-018"/>
    <x v="15"/>
    <x v="1"/>
    <x v="1"/>
    <n v="11"/>
    <n v="5"/>
    <n v="10"/>
    <s v="Action"/>
  </r>
  <r>
    <s v="EM-019"/>
    <x v="16"/>
    <x v="2"/>
    <x v="0"/>
    <n v="4"/>
    <n v="5"/>
    <n v="10"/>
    <s v="Within Limit"/>
  </r>
  <r>
    <s v="EM-020"/>
    <x v="17"/>
    <x v="3"/>
    <x v="1"/>
    <n v="3"/>
    <n v="5"/>
    <n v="10"/>
    <s v="Within Lim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0494E-38E1-9443-94EE-BA736B5F76BD}"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8">
    <pivotField showAll="0"/>
    <pivotField numFmtId="14" showAll="0"/>
    <pivotField axis="axisRow" showAll="0">
      <items count="5">
        <item x="0"/>
        <item x="1"/>
        <item x="2"/>
        <item x="3"/>
        <item t="default"/>
      </items>
    </pivotField>
    <pivotField showAll="0">
      <items count="3">
        <item x="0"/>
        <item x="1"/>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Average of CFU_Count" fld="4" subtotal="average"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4F02FD-A9E5-5D47-910A-05C1858ED90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2" firstHeaderRow="1" firstDataRow="1" firstDataCol="1"/>
  <pivotFields count="8">
    <pivotField showAll="0"/>
    <pivotField axis="axisRow" numFmtId="14" showAll="0">
      <items count="19">
        <item x="0"/>
        <item x="1"/>
        <item x="2"/>
        <item x="3"/>
        <item x="4"/>
        <item x="5"/>
        <item x="6"/>
        <item x="7"/>
        <item x="8"/>
        <item x="9"/>
        <item x="10"/>
        <item x="11"/>
        <item x="12"/>
        <item x="13"/>
        <item x="14"/>
        <item x="15"/>
        <item x="16"/>
        <item x="17"/>
        <item t="default"/>
      </items>
    </pivotField>
    <pivotField showAll="0"/>
    <pivotField showAll="0"/>
    <pivotField dataField="1" showAll="0"/>
    <pivotField showAll="0"/>
    <pivotField showAll="0"/>
    <pivotField showAll="0"/>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CFU_Count" fld="4" subtotal="average"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 xr10:uid="{DC468B05-A5B7-4F44-B0F0-8E17897C8E91}" sourceName="Room">
  <pivotTables>
    <pivotTable tabId="2" name="PivotTable1"/>
  </pivotTables>
  <data>
    <tabular pivotCacheId="69418971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 xr10:uid="{A9EAACFE-CAE6-BC4B-8CFC-AA3C9EE5AC91}" cache="Slicer_Room" caption="Room"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 1" xr10:uid="{FF37867A-BA11-5A43-9B1B-DB4BF1D8BB1C}" cache="Slicer_Room" caption="Room" columnCoun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A2004C-E377-6C48-BFF5-9B73D1350D5C}" name="Table1" displayName="Table1" ref="A1:H21" totalsRowShown="0">
  <autoFilter ref="A1:H21" xr:uid="{A5A2004C-E377-6C48-BFF5-9B73D1350D5C}"/>
  <tableColumns count="8">
    <tableColumn id="1" xr3:uid="{B7B12FCE-CE76-DA4B-BBAD-F25167DF53F5}" name="Sample_ID"/>
    <tableColumn id="2" xr3:uid="{44DBC55A-DA78-2049-A466-0F4ADA9A6124}" name="Date" dataDxfId="2"/>
    <tableColumn id="3" xr3:uid="{6033C610-9EDF-2144-BF74-1897F3C0108C}" name="Room"/>
    <tableColumn id="4" xr3:uid="{22C7959A-6123-1644-BB60-D7367FFB2402}" name="Sample_Type"/>
    <tableColumn id="5" xr3:uid="{ABA0CEE4-26F8-D44D-85BA-875419B49F1B}" name="CFU_Count"/>
    <tableColumn id="6" xr3:uid="{10D41AA6-1CCF-D942-A374-3F64CC031350}" name="Alert_Limit"/>
    <tableColumn id="7" xr3:uid="{E63168DA-FA9A-8044-A96A-D0003EB9659D}" name="Action_Limit"/>
    <tableColumn id="8" xr3:uid="{D73874B4-C339-134A-BB6C-BD8E2513A18F}" name="Status">
      <calculatedColumnFormula>IF(E2&gt;=G2,"Action",IF(E2&gt;=F2,"Alert","Within Limit"))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EE7F-1E20-4C46-BF32-AF9798E55F25}">
  <dimension ref="A1:P21"/>
  <sheetViews>
    <sheetView tabSelected="1" topLeftCell="R1" zoomScale="173" workbookViewId="0">
      <selection activeCell="P24" sqref="P24"/>
    </sheetView>
  </sheetViews>
  <sheetFormatPr baseColWidth="10" defaultRowHeight="16" x14ac:dyDescent="0.2"/>
  <cols>
    <col min="1" max="1" width="11" customWidth="1"/>
    <col min="4" max="4" width="13.1640625" customWidth="1"/>
    <col min="5" max="5" width="11.5" customWidth="1"/>
    <col min="6" max="6" width="11.33203125" customWidth="1"/>
    <col min="7" max="7" width="12.5" customWidth="1"/>
    <col min="10" max="10" width="12.33203125" bestFit="1" customWidth="1"/>
  </cols>
  <sheetData>
    <row r="1" spans="1:16" x14ac:dyDescent="0.2">
      <c r="A1" t="s">
        <v>0</v>
      </c>
      <c r="B1" t="s">
        <v>1</v>
      </c>
      <c r="C1" t="s">
        <v>2</v>
      </c>
      <c r="D1" t="s">
        <v>3</v>
      </c>
      <c r="E1" t="s">
        <v>4</v>
      </c>
      <c r="F1" t="s">
        <v>5</v>
      </c>
      <c r="G1" t="s">
        <v>6</v>
      </c>
      <c r="H1" t="s">
        <v>7</v>
      </c>
      <c r="J1" t="s">
        <v>19</v>
      </c>
      <c r="K1" t="s">
        <v>20</v>
      </c>
      <c r="M1" t="s">
        <v>1</v>
      </c>
      <c r="N1" t="s">
        <v>44</v>
      </c>
      <c r="O1" t="s">
        <v>45</v>
      </c>
      <c r="P1" t="s">
        <v>24</v>
      </c>
    </row>
    <row r="2" spans="1:16" x14ac:dyDescent="0.2">
      <c r="A2" t="s">
        <v>8</v>
      </c>
      <c r="B2" s="1">
        <v>46235</v>
      </c>
      <c r="C2" t="s">
        <v>13</v>
      </c>
      <c r="D2" t="s">
        <v>17</v>
      </c>
      <c r="E2">
        <v>2</v>
      </c>
      <c r="F2">
        <v>5</v>
      </c>
      <c r="G2">
        <v>10</v>
      </c>
      <c r="H2" t="str">
        <f>IF(E2&gt;=G2,"Action",IF(E2&gt;=F2,"Alert","Within Limit"))</f>
        <v>Within Limit</v>
      </c>
      <c r="J2" t="s">
        <v>21</v>
      </c>
      <c r="K2">
        <f>COUNTA(Table1[Sample_ID])</f>
        <v>20</v>
      </c>
      <c r="M2" s="1">
        <v>46235</v>
      </c>
      <c r="N2">
        <v>5</v>
      </c>
      <c r="O2">
        <v>10</v>
      </c>
      <c r="P2" s="6">
        <f>GETPIVOTDATA("CFU_Count",'PivotTable 2'!$A$3,"Date",M2)</f>
        <v>3</v>
      </c>
    </row>
    <row r="3" spans="1:16" x14ac:dyDescent="0.2">
      <c r="A3" t="s">
        <v>9</v>
      </c>
      <c r="B3" s="1">
        <v>46235</v>
      </c>
      <c r="C3" t="s">
        <v>14</v>
      </c>
      <c r="D3" t="s">
        <v>18</v>
      </c>
      <c r="E3">
        <v>4</v>
      </c>
      <c r="F3">
        <v>5</v>
      </c>
      <c r="G3">
        <v>10</v>
      </c>
      <c r="H3" t="str">
        <f t="shared" ref="H3:H6" si="0">IF(E3&gt;=G3,"Action",IF(E3&gt;=F3,"Alert","Within Limit"))</f>
        <v>Within Limit</v>
      </c>
      <c r="J3" t="s">
        <v>22</v>
      </c>
      <c r="K3">
        <f>COUNTIF(Table1[Status], "Alert")</f>
        <v>5</v>
      </c>
      <c r="M3" s="1">
        <v>46236</v>
      </c>
      <c r="N3">
        <v>5</v>
      </c>
      <c r="O3">
        <v>10</v>
      </c>
      <c r="P3" s="6">
        <f>GETPIVOTDATA("CFU_Count",'PivotTable 2'!$A$3,"Date",M3)</f>
        <v>3.5</v>
      </c>
    </row>
    <row r="4" spans="1:16" x14ac:dyDescent="0.2">
      <c r="A4" t="s">
        <v>10</v>
      </c>
      <c r="B4" s="1">
        <v>46236</v>
      </c>
      <c r="C4" t="s">
        <v>15</v>
      </c>
      <c r="D4" t="s">
        <v>17</v>
      </c>
      <c r="E4">
        <v>6</v>
      </c>
      <c r="F4">
        <v>5</v>
      </c>
      <c r="G4">
        <v>10</v>
      </c>
      <c r="H4" t="str">
        <f t="shared" si="0"/>
        <v>Alert</v>
      </c>
      <c r="J4" t="s">
        <v>23</v>
      </c>
      <c r="K4">
        <f>COUNTIF(Table1[Status],"Action")</f>
        <v>3</v>
      </c>
      <c r="M4" s="1">
        <v>46237</v>
      </c>
      <c r="N4">
        <v>5</v>
      </c>
      <c r="O4">
        <v>10</v>
      </c>
      <c r="P4" s="6">
        <f>GETPIVOTDATA("CFU_Count",'PivotTable 2'!$A$3,"Date",M4)</f>
        <v>11</v>
      </c>
    </row>
    <row r="5" spans="1:16" x14ac:dyDescent="0.2">
      <c r="A5" t="s">
        <v>11</v>
      </c>
      <c r="B5" s="1">
        <v>46236</v>
      </c>
      <c r="C5" t="s">
        <v>16</v>
      </c>
      <c r="D5" t="s">
        <v>18</v>
      </c>
      <c r="E5">
        <v>1</v>
      </c>
      <c r="F5">
        <v>5</v>
      </c>
      <c r="G5">
        <v>10</v>
      </c>
      <c r="H5" t="str">
        <f t="shared" si="0"/>
        <v>Within Limit</v>
      </c>
      <c r="J5" t="s">
        <v>24</v>
      </c>
      <c r="K5">
        <f>AVERAGE(Table1[CFU_Count])</f>
        <v>4.75</v>
      </c>
      <c r="M5" s="1">
        <v>46238</v>
      </c>
      <c r="N5">
        <v>5</v>
      </c>
      <c r="O5">
        <v>10</v>
      </c>
      <c r="P5" s="6">
        <f>GETPIVOTDATA("CFU_Count",'PivotTable 2'!$A$3,"Date",M5)</f>
        <v>3</v>
      </c>
    </row>
    <row r="6" spans="1:16" x14ac:dyDescent="0.2">
      <c r="A6" t="s">
        <v>12</v>
      </c>
      <c r="B6" s="1">
        <v>46237</v>
      </c>
      <c r="C6" t="s">
        <v>13</v>
      </c>
      <c r="D6" t="s">
        <v>17</v>
      </c>
      <c r="E6">
        <v>11</v>
      </c>
      <c r="F6">
        <v>5</v>
      </c>
      <c r="G6">
        <v>10</v>
      </c>
      <c r="H6" t="str">
        <f t="shared" si="0"/>
        <v>Action</v>
      </c>
      <c r="J6" t="s">
        <v>25</v>
      </c>
      <c r="K6" s="2">
        <f>COUNTIF(Table1[Status],"Within Limit")/COUNTA(Table1[Sample_ID])</f>
        <v>0.6</v>
      </c>
      <c r="M6" s="1">
        <v>46239</v>
      </c>
      <c r="N6">
        <v>5</v>
      </c>
      <c r="O6">
        <v>10</v>
      </c>
      <c r="P6" s="6">
        <f>GETPIVOTDATA("CFU_Count",'PivotTable 2'!$A$3,"Date",M6)</f>
        <v>8</v>
      </c>
    </row>
    <row r="7" spans="1:16" x14ac:dyDescent="0.2">
      <c r="A7" s="7" t="s">
        <v>43</v>
      </c>
      <c r="B7" s="8">
        <v>46238</v>
      </c>
      <c r="C7" s="7" t="s">
        <v>14</v>
      </c>
      <c r="D7" s="7" t="s">
        <v>17</v>
      </c>
      <c r="E7" s="7">
        <v>3</v>
      </c>
      <c r="F7" s="7">
        <v>5</v>
      </c>
      <c r="G7" s="7">
        <v>10</v>
      </c>
      <c r="H7" s="7" t="str">
        <f t="shared" ref="H7:H21" si="1">IF(E7&gt;=G7,"Action",IF(E7&gt;=F7,"Alert","Within Limit"))</f>
        <v>Within Limit</v>
      </c>
      <c r="M7" s="1">
        <v>46240</v>
      </c>
      <c r="N7">
        <v>5</v>
      </c>
      <c r="O7">
        <v>10</v>
      </c>
      <c r="P7" s="6">
        <f>GETPIVOTDATA("CFU_Count",'PivotTable 2'!$A$3,"Date",M7)</f>
        <v>2</v>
      </c>
    </row>
    <row r="8" spans="1:16" x14ac:dyDescent="0.2">
      <c r="A8" s="7" t="s">
        <v>29</v>
      </c>
      <c r="B8" s="8">
        <v>46239</v>
      </c>
      <c r="C8" s="7" t="s">
        <v>15</v>
      </c>
      <c r="D8" s="7" t="s">
        <v>18</v>
      </c>
      <c r="E8" s="7">
        <v>8</v>
      </c>
      <c r="F8" s="7">
        <v>5</v>
      </c>
      <c r="G8" s="7">
        <v>10</v>
      </c>
      <c r="H8" s="7" t="str">
        <f t="shared" si="1"/>
        <v>Alert</v>
      </c>
      <c r="M8" s="1">
        <v>46241</v>
      </c>
      <c r="N8">
        <v>5</v>
      </c>
      <c r="O8">
        <v>10</v>
      </c>
      <c r="P8" s="6">
        <f>GETPIVOTDATA("CFU_Count",'PivotTable 2'!$A$3,"Date",M8)</f>
        <v>5</v>
      </c>
    </row>
    <row r="9" spans="1:16" x14ac:dyDescent="0.2">
      <c r="A9" s="7" t="s">
        <v>30</v>
      </c>
      <c r="B9" s="8">
        <v>46240</v>
      </c>
      <c r="C9" s="7" t="s">
        <v>16</v>
      </c>
      <c r="D9" s="7" t="s">
        <v>17</v>
      </c>
      <c r="E9" s="7">
        <v>2</v>
      </c>
      <c r="F9" s="7">
        <v>5</v>
      </c>
      <c r="G9" s="7">
        <v>10</v>
      </c>
      <c r="H9" s="7" t="str">
        <f t="shared" si="1"/>
        <v>Within Limit</v>
      </c>
      <c r="M9" s="1">
        <v>46242</v>
      </c>
      <c r="N9">
        <v>5</v>
      </c>
      <c r="O9">
        <v>10</v>
      </c>
      <c r="P9" s="6">
        <f>GETPIVOTDATA("CFU_Count",'PivotTable 2'!$A$3,"Date",M9)</f>
        <v>1</v>
      </c>
    </row>
    <row r="10" spans="1:16" x14ac:dyDescent="0.2">
      <c r="A10" s="7" t="s">
        <v>31</v>
      </c>
      <c r="B10" s="8">
        <v>46241</v>
      </c>
      <c r="C10" s="7" t="s">
        <v>13</v>
      </c>
      <c r="D10" s="7" t="s">
        <v>18</v>
      </c>
      <c r="E10" s="7">
        <v>5</v>
      </c>
      <c r="F10" s="7">
        <v>5</v>
      </c>
      <c r="G10" s="7">
        <v>10</v>
      </c>
      <c r="H10" s="7" t="str">
        <f t="shared" si="1"/>
        <v>Alert</v>
      </c>
      <c r="M10" s="1">
        <v>46243</v>
      </c>
      <c r="N10">
        <v>5</v>
      </c>
      <c r="O10">
        <v>10</v>
      </c>
      <c r="P10" s="6">
        <f>GETPIVOTDATA("CFU_Count",'PivotTable 2'!$A$3,"Date",M10)</f>
        <v>12</v>
      </c>
    </row>
    <row r="11" spans="1:16" x14ac:dyDescent="0.2">
      <c r="A11" s="7" t="s">
        <v>32</v>
      </c>
      <c r="B11" s="8">
        <v>46242</v>
      </c>
      <c r="C11" s="7" t="s">
        <v>14</v>
      </c>
      <c r="D11" s="7" t="s">
        <v>18</v>
      </c>
      <c r="E11" s="7">
        <v>1</v>
      </c>
      <c r="F11" s="7">
        <v>5</v>
      </c>
      <c r="G11" s="7">
        <v>10</v>
      </c>
      <c r="H11" s="7" t="str">
        <f t="shared" si="1"/>
        <v>Within Limit</v>
      </c>
      <c r="M11" s="1">
        <v>46244</v>
      </c>
      <c r="N11">
        <v>5</v>
      </c>
      <c r="O11">
        <v>10</v>
      </c>
      <c r="P11" s="6">
        <f>GETPIVOTDATA("CFU_Count",'PivotTable 2'!$A$3,"Date",M11)</f>
        <v>4</v>
      </c>
    </row>
    <row r="12" spans="1:16" x14ac:dyDescent="0.2">
      <c r="A12" s="7" t="s">
        <v>33</v>
      </c>
      <c r="B12" s="8">
        <v>46243</v>
      </c>
      <c r="C12" s="7" t="s">
        <v>15</v>
      </c>
      <c r="D12" s="7" t="s">
        <v>17</v>
      </c>
      <c r="E12" s="7">
        <v>12</v>
      </c>
      <c r="F12" s="7">
        <v>5</v>
      </c>
      <c r="G12" s="7">
        <v>10</v>
      </c>
      <c r="H12" s="7" t="str">
        <f t="shared" si="1"/>
        <v>Action</v>
      </c>
      <c r="M12" s="1">
        <v>46245</v>
      </c>
      <c r="N12">
        <v>5</v>
      </c>
      <c r="O12">
        <v>10</v>
      </c>
      <c r="P12" s="6">
        <f>GETPIVOTDATA("CFU_Count",'PivotTable 2'!$A$3,"Date",M12)</f>
        <v>3</v>
      </c>
    </row>
    <row r="13" spans="1:16" x14ac:dyDescent="0.2">
      <c r="A13" s="7" t="s">
        <v>34</v>
      </c>
      <c r="B13" s="8">
        <v>46244</v>
      </c>
      <c r="C13" s="7" t="s">
        <v>16</v>
      </c>
      <c r="D13" s="7" t="s">
        <v>18</v>
      </c>
      <c r="E13" s="7">
        <v>4</v>
      </c>
      <c r="F13" s="7">
        <v>5</v>
      </c>
      <c r="G13" s="7">
        <v>10</v>
      </c>
      <c r="H13" s="7" t="str">
        <f t="shared" si="1"/>
        <v>Within Limit</v>
      </c>
      <c r="M13" s="1">
        <v>46246</v>
      </c>
      <c r="N13">
        <v>5</v>
      </c>
      <c r="O13">
        <v>10</v>
      </c>
      <c r="P13" s="6">
        <f>GETPIVOTDATA("CFU_Count",'PivotTable 2'!$A$3,"Date",M13)</f>
        <v>6</v>
      </c>
    </row>
    <row r="14" spans="1:16" x14ac:dyDescent="0.2">
      <c r="A14" s="7" t="s">
        <v>35</v>
      </c>
      <c r="B14" s="8">
        <v>46245</v>
      </c>
      <c r="C14" s="7" t="s">
        <v>13</v>
      </c>
      <c r="D14" s="7" t="s">
        <v>17</v>
      </c>
      <c r="E14" s="7">
        <v>3</v>
      </c>
      <c r="F14" s="7">
        <v>5</v>
      </c>
      <c r="G14" s="7">
        <v>10</v>
      </c>
      <c r="H14" s="7" t="str">
        <f t="shared" si="1"/>
        <v>Within Limit</v>
      </c>
      <c r="M14" s="1">
        <v>46247</v>
      </c>
      <c r="N14">
        <v>5</v>
      </c>
      <c r="O14">
        <v>10</v>
      </c>
      <c r="P14" s="6">
        <f>GETPIVOTDATA("CFU_Count",'PivotTable 2'!$A$3,"Date",M14)</f>
        <v>7</v>
      </c>
    </row>
    <row r="15" spans="1:16" x14ac:dyDescent="0.2">
      <c r="A15" s="7" t="s">
        <v>36</v>
      </c>
      <c r="B15" s="8">
        <v>46246</v>
      </c>
      <c r="C15" s="7" t="s">
        <v>14</v>
      </c>
      <c r="D15" s="7" t="s">
        <v>17</v>
      </c>
      <c r="E15" s="7">
        <v>6</v>
      </c>
      <c r="F15" s="7">
        <v>5</v>
      </c>
      <c r="G15" s="7">
        <v>10</v>
      </c>
      <c r="H15" s="7" t="str">
        <f t="shared" si="1"/>
        <v>Alert</v>
      </c>
      <c r="M15" s="1">
        <v>46248</v>
      </c>
      <c r="N15">
        <v>5</v>
      </c>
      <c r="O15">
        <v>10</v>
      </c>
      <c r="P15" s="6">
        <f>GETPIVOTDATA("CFU_Count",'PivotTable 2'!$A$3,"Date",M15)</f>
        <v>0</v>
      </c>
    </row>
    <row r="16" spans="1:16" x14ac:dyDescent="0.2">
      <c r="A16" s="7" t="s">
        <v>37</v>
      </c>
      <c r="B16" s="8">
        <v>46247</v>
      </c>
      <c r="C16" s="7" t="s">
        <v>15</v>
      </c>
      <c r="D16" s="7" t="s">
        <v>18</v>
      </c>
      <c r="E16" s="7">
        <v>7</v>
      </c>
      <c r="F16" s="7">
        <v>5</v>
      </c>
      <c r="G16" s="7">
        <v>10</v>
      </c>
      <c r="H16" s="7" t="str">
        <f t="shared" si="1"/>
        <v>Alert</v>
      </c>
      <c r="M16" s="1">
        <v>46249</v>
      </c>
      <c r="N16">
        <v>5</v>
      </c>
      <c r="O16">
        <v>10</v>
      </c>
      <c r="P16" s="6">
        <f>GETPIVOTDATA("CFU_Count",'PivotTable 2'!$A$3,"Date",M16)</f>
        <v>2</v>
      </c>
    </row>
    <row r="17" spans="1:16" x14ac:dyDescent="0.2">
      <c r="A17" s="7" t="s">
        <v>38</v>
      </c>
      <c r="B17" s="8">
        <v>46248</v>
      </c>
      <c r="C17" s="7" t="s">
        <v>16</v>
      </c>
      <c r="D17" s="7" t="s">
        <v>17</v>
      </c>
      <c r="E17" s="7">
        <v>0</v>
      </c>
      <c r="F17" s="7">
        <v>5</v>
      </c>
      <c r="G17" s="7">
        <v>10</v>
      </c>
      <c r="H17" s="7" t="str">
        <f t="shared" si="1"/>
        <v>Within Limit</v>
      </c>
      <c r="M17" s="1">
        <v>46250</v>
      </c>
      <c r="N17">
        <v>5</v>
      </c>
      <c r="O17">
        <v>10</v>
      </c>
      <c r="P17" s="6">
        <f>GETPIVOTDATA("CFU_Count",'PivotTable 2'!$A$3,"Date",M17)</f>
        <v>11</v>
      </c>
    </row>
    <row r="18" spans="1:16" x14ac:dyDescent="0.2">
      <c r="A18" s="7" t="s">
        <v>39</v>
      </c>
      <c r="B18" s="8">
        <v>46249</v>
      </c>
      <c r="C18" s="7" t="s">
        <v>13</v>
      </c>
      <c r="D18" s="7" t="s">
        <v>18</v>
      </c>
      <c r="E18" s="7">
        <v>2</v>
      </c>
      <c r="F18" s="7">
        <v>5</v>
      </c>
      <c r="G18" s="7">
        <v>10</v>
      </c>
      <c r="H18" s="7" t="str">
        <f t="shared" si="1"/>
        <v>Within Limit</v>
      </c>
      <c r="M18" s="1">
        <v>46251</v>
      </c>
      <c r="N18">
        <v>5</v>
      </c>
      <c r="O18">
        <v>10</v>
      </c>
      <c r="P18" s="6">
        <f>GETPIVOTDATA("CFU_Count",'PivotTable 2'!$A$3,"Date",M18)</f>
        <v>4</v>
      </c>
    </row>
    <row r="19" spans="1:16" x14ac:dyDescent="0.2">
      <c r="A19" s="7" t="s">
        <v>40</v>
      </c>
      <c r="B19" s="8">
        <v>46250</v>
      </c>
      <c r="C19" s="7" t="s">
        <v>14</v>
      </c>
      <c r="D19" s="7" t="s">
        <v>18</v>
      </c>
      <c r="E19" s="7">
        <v>11</v>
      </c>
      <c r="F19" s="7">
        <v>5</v>
      </c>
      <c r="G19" s="7">
        <v>10</v>
      </c>
      <c r="H19" s="7" t="str">
        <f t="shared" si="1"/>
        <v>Action</v>
      </c>
      <c r="M19" s="1">
        <v>46252</v>
      </c>
      <c r="N19">
        <v>5</v>
      </c>
      <c r="O19">
        <v>10</v>
      </c>
      <c r="P19" s="6">
        <f>GETPIVOTDATA("CFU_Count",'PivotTable 2'!$A$3,"Date",M19)</f>
        <v>3</v>
      </c>
    </row>
    <row r="20" spans="1:16" x14ac:dyDescent="0.2">
      <c r="A20" s="7" t="s">
        <v>41</v>
      </c>
      <c r="B20" s="8">
        <v>46251</v>
      </c>
      <c r="C20" s="7" t="s">
        <v>15</v>
      </c>
      <c r="D20" s="7" t="s">
        <v>17</v>
      </c>
      <c r="E20" s="7">
        <v>4</v>
      </c>
      <c r="F20" s="7">
        <v>5</v>
      </c>
      <c r="G20" s="7">
        <v>10</v>
      </c>
      <c r="H20" s="7" t="str">
        <f t="shared" si="1"/>
        <v>Within Limit</v>
      </c>
    </row>
    <row r="21" spans="1:16" x14ac:dyDescent="0.2">
      <c r="A21" s="7" t="s">
        <v>42</v>
      </c>
      <c r="B21" s="8">
        <v>46252</v>
      </c>
      <c r="C21" s="7" t="s">
        <v>16</v>
      </c>
      <c r="D21" s="7" t="s">
        <v>18</v>
      </c>
      <c r="E21" s="7">
        <v>3</v>
      </c>
      <c r="F21" s="7">
        <v>5</v>
      </c>
      <c r="G21" s="7">
        <v>10</v>
      </c>
      <c r="H21" t="str">
        <f t="shared" si="1"/>
        <v>Within Limit</v>
      </c>
    </row>
  </sheetData>
  <conditionalFormatting sqref="H2:H21">
    <cfRule type="containsText" dxfId="1" priority="1" operator="containsText" text="Alert">
      <formula>NOT(ISERROR(SEARCH("Alert",H2)))</formula>
    </cfRule>
    <cfRule type="containsText" dxfId="0" priority="2" operator="containsText" text="Action">
      <formula>NOT(ISERROR(SEARCH("Action",H2)))</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BF16-ED9F-1143-AA55-9948B837250D}">
  <dimension ref="A3:B8"/>
  <sheetViews>
    <sheetView workbookViewId="0">
      <selection activeCell="G20" sqref="G20"/>
    </sheetView>
  </sheetViews>
  <sheetFormatPr baseColWidth="10" defaultRowHeight="16" x14ac:dyDescent="0.2"/>
  <cols>
    <col min="1" max="1" width="13" bestFit="1" customWidth="1"/>
    <col min="2" max="2" width="19.6640625" bestFit="1" customWidth="1"/>
    <col min="3" max="3" width="17.5" bestFit="1" customWidth="1"/>
  </cols>
  <sheetData>
    <row r="3" spans="1:2" x14ac:dyDescent="0.2">
      <c r="A3" s="3" t="s">
        <v>26</v>
      </c>
      <c r="B3" t="s">
        <v>28</v>
      </c>
    </row>
    <row r="4" spans="1:2" x14ac:dyDescent="0.2">
      <c r="A4" s="4" t="s">
        <v>13</v>
      </c>
      <c r="B4" s="5">
        <v>4.5999999999999996</v>
      </c>
    </row>
    <row r="5" spans="1:2" x14ac:dyDescent="0.2">
      <c r="A5" s="4" t="s">
        <v>14</v>
      </c>
      <c r="B5" s="5">
        <v>5</v>
      </c>
    </row>
    <row r="6" spans="1:2" x14ac:dyDescent="0.2">
      <c r="A6" s="4" t="s">
        <v>15</v>
      </c>
      <c r="B6" s="5">
        <v>7.4</v>
      </c>
    </row>
    <row r="7" spans="1:2" x14ac:dyDescent="0.2">
      <c r="A7" s="4" t="s">
        <v>16</v>
      </c>
      <c r="B7" s="5">
        <v>2</v>
      </c>
    </row>
    <row r="8" spans="1:2" x14ac:dyDescent="0.2">
      <c r="A8" s="4" t="s">
        <v>27</v>
      </c>
      <c r="B8" s="5">
        <v>4.75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4A57-DD5F-FA49-A99B-F066EF27D477}">
  <dimension ref="A3:B22"/>
  <sheetViews>
    <sheetView zoomScale="125" workbookViewId="0">
      <selection activeCell="B5" sqref="B5"/>
    </sheetView>
  </sheetViews>
  <sheetFormatPr baseColWidth="10" defaultRowHeight="16" x14ac:dyDescent="0.2"/>
  <cols>
    <col min="1" max="1" width="13" bestFit="1" customWidth="1"/>
    <col min="2" max="2" width="19.6640625" bestFit="1" customWidth="1"/>
    <col min="3" max="3" width="16.5" bestFit="1" customWidth="1"/>
  </cols>
  <sheetData>
    <row r="3" spans="1:2" x14ac:dyDescent="0.2">
      <c r="A3" s="3" t="s">
        <v>26</v>
      </c>
      <c r="B3" t="s">
        <v>28</v>
      </c>
    </row>
    <row r="4" spans="1:2" x14ac:dyDescent="0.2">
      <c r="A4" s="9">
        <v>46235</v>
      </c>
      <c r="B4" s="5">
        <v>3</v>
      </c>
    </row>
    <row r="5" spans="1:2" x14ac:dyDescent="0.2">
      <c r="A5" s="9">
        <v>46236</v>
      </c>
      <c r="B5" s="5">
        <v>3.5</v>
      </c>
    </row>
    <row r="6" spans="1:2" x14ac:dyDescent="0.2">
      <c r="A6" s="9">
        <v>46237</v>
      </c>
      <c r="B6" s="5">
        <v>11</v>
      </c>
    </row>
    <row r="7" spans="1:2" x14ac:dyDescent="0.2">
      <c r="A7" s="9">
        <v>46238</v>
      </c>
      <c r="B7" s="5">
        <v>3</v>
      </c>
    </row>
    <row r="8" spans="1:2" x14ac:dyDescent="0.2">
      <c r="A8" s="9">
        <v>46239</v>
      </c>
      <c r="B8" s="5">
        <v>8</v>
      </c>
    </row>
    <row r="9" spans="1:2" x14ac:dyDescent="0.2">
      <c r="A9" s="9">
        <v>46240</v>
      </c>
      <c r="B9" s="5">
        <v>2</v>
      </c>
    </row>
    <row r="10" spans="1:2" x14ac:dyDescent="0.2">
      <c r="A10" s="9">
        <v>46241</v>
      </c>
      <c r="B10" s="5">
        <v>5</v>
      </c>
    </row>
    <row r="11" spans="1:2" x14ac:dyDescent="0.2">
      <c r="A11" s="9">
        <v>46242</v>
      </c>
      <c r="B11" s="5">
        <v>1</v>
      </c>
    </row>
    <row r="12" spans="1:2" x14ac:dyDescent="0.2">
      <c r="A12" s="9">
        <v>46243</v>
      </c>
      <c r="B12" s="5">
        <v>12</v>
      </c>
    </row>
    <row r="13" spans="1:2" x14ac:dyDescent="0.2">
      <c r="A13" s="9">
        <v>46244</v>
      </c>
      <c r="B13" s="5">
        <v>4</v>
      </c>
    </row>
    <row r="14" spans="1:2" x14ac:dyDescent="0.2">
      <c r="A14" s="9">
        <v>46245</v>
      </c>
      <c r="B14" s="5">
        <v>3</v>
      </c>
    </row>
    <row r="15" spans="1:2" x14ac:dyDescent="0.2">
      <c r="A15" s="9">
        <v>46246</v>
      </c>
      <c r="B15" s="5">
        <v>6</v>
      </c>
    </row>
    <row r="16" spans="1:2" x14ac:dyDescent="0.2">
      <c r="A16" s="9">
        <v>46247</v>
      </c>
      <c r="B16" s="5">
        <v>7</v>
      </c>
    </row>
    <row r="17" spans="1:2" x14ac:dyDescent="0.2">
      <c r="A17" s="9">
        <v>46248</v>
      </c>
      <c r="B17" s="5">
        <v>0</v>
      </c>
    </row>
    <row r="18" spans="1:2" x14ac:dyDescent="0.2">
      <c r="A18" s="9">
        <v>46249</v>
      </c>
      <c r="B18" s="5">
        <v>2</v>
      </c>
    </row>
    <row r="19" spans="1:2" x14ac:dyDescent="0.2">
      <c r="A19" s="9">
        <v>46250</v>
      </c>
      <c r="B19" s="5">
        <v>11</v>
      </c>
    </row>
    <row r="20" spans="1:2" x14ac:dyDescent="0.2">
      <c r="A20" s="9">
        <v>46251</v>
      </c>
      <c r="B20" s="5">
        <v>4</v>
      </c>
    </row>
    <row r="21" spans="1:2" x14ac:dyDescent="0.2">
      <c r="A21" s="9">
        <v>46252</v>
      </c>
      <c r="B21" s="5">
        <v>3</v>
      </c>
    </row>
    <row r="22" spans="1:2" x14ac:dyDescent="0.2">
      <c r="A22" s="9" t="s">
        <v>27</v>
      </c>
      <c r="B22" s="5">
        <v>4.75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352F-783F-DC42-A3D8-5F4A3EF2A3B3}">
  <dimension ref="A1:J33"/>
  <sheetViews>
    <sheetView showGridLines="0" workbookViewId="0">
      <selection activeCell="F7" sqref="F7"/>
    </sheetView>
  </sheetViews>
  <sheetFormatPr baseColWidth="10" defaultRowHeight="16" x14ac:dyDescent="0.2"/>
  <cols>
    <col min="1" max="1" width="13" customWidth="1"/>
    <col min="3" max="3" width="12.1640625" bestFit="1" customWidth="1"/>
    <col min="7" max="7" width="12.1640625" bestFit="1" customWidth="1"/>
    <col min="9" max="9" width="13" bestFit="1" customWidth="1"/>
  </cols>
  <sheetData>
    <row r="1" spans="1:9" ht="24" x14ac:dyDescent="0.3">
      <c r="A1" s="12" t="s">
        <v>46</v>
      </c>
      <c r="B1" s="12"/>
      <c r="C1" s="12"/>
      <c r="D1" s="12"/>
      <c r="E1" s="12"/>
      <c r="F1" s="12"/>
      <c r="G1" s="12"/>
      <c r="H1" s="12"/>
      <c r="I1" s="12"/>
    </row>
    <row r="3" spans="1:9" x14ac:dyDescent="0.2">
      <c r="A3" s="14" t="s">
        <v>21</v>
      </c>
      <c r="B3" s="13"/>
      <c r="C3" s="14" t="s">
        <v>24</v>
      </c>
      <c r="D3" s="10"/>
      <c r="E3" s="14" t="s">
        <v>22</v>
      </c>
      <c r="F3" s="10"/>
      <c r="G3" s="14" t="s">
        <v>23</v>
      </c>
      <c r="H3" s="10"/>
      <c r="I3" s="16" t="s">
        <v>25</v>
      </c>
    </row>
    <row r="4" spans="1:9" ht="24" x14ac:dyDescent="0.2">
      <c r="A4" s="15">
        <f>'Raw Data'!K2</f>
        <v>20</v>
      </c>
      <c r="B4" s="13"/>
      <c r="C4" s="15">
        <f>'Raw Data'!K5</f>
        <v>4.75</v>
      </c>
      <c r="D4" s="11"/>
      <c r="E4" s="15">
        <f>'Raw Data'!K3</f>
        <v>5</v>
      </c>
      <c r="F4" s="11"/>
      <c r="G4" s="15">
        <f>'Raw Data'!K4</f>
        <v>3</v>
      </c>
      <c r="H4" s="11"/>
      <c r="I4" s="17">
        <f>'Raw Data'!K6</f>
        <v>0.6</v>
      </c>
    </row>
    <row r="5" spans="1:9" x14ac:dyDescent="0.2">
      <c r="F5" s="13"/>
    </row>
    <row r="27" spans="1:10" ht="19" x14ac:dyDescent="0.25">
      <c r="A27" s="18" t="s">
        <v>47</v>
      </c>
      <c r="B27" s="18"/>
      <c r="C27" s="18"/>
      <c r="D27" s="18"/>
      <c r="E27" s="18"/>
      <c r="F27" s="18"/>
      <c r="G27" s="18"/>
      <c r="H27" s="18"/>
      <c r="I27" s="18"/>
      <c r="J27" s="18"/>
    </row>
    <row r="28" spans="1:10" x14ac:dyDescent="0.2">
      <c r="A28" s="19" t="s">
        <v>49</v>
      </c>
      <c r="B28" s="19"/>
      <c r="C28" s="19"/>
      <c r="D28" s="19"/>
      <c r="E28" s="19"/>
      <c r="F28" s="19"/>
      <c r="G28" s="19"/>
      <c r="H28" s="19"/>
      <c r="I28" s="19"/>
      <c r="J28" s="19"/>
    </row>
    <row r="29" spans="1:10" x14ac:dyDescent="0.2">
      <c r="A29" s="19" t="s">
        <v>50</v>
      </c>
      <c r="B29" s="19"/>
      <c r="C29" s="19"/>
      <c r="D29" s="19"/>
      <c r="E29" s="19"/>
      <c r="F29" s="19"/>
      <c r="G29" s="19"/>
      <c r="H29" s="19"/>
      <c r="I29" s="19"/>
      <c r="J29" s="19"/>
    </row>
    <row r="30" spans="1:10" x14ac:dyDescent="0.2">
      <c r="A30" s="19" t="s">
        <v>51</v>
      </c>
      <c r="B30" s="19"/>
      <c r="C30" s="19"/>
      <c r="D30" s="19"/>
      <c r="E30" s="19"/>
      <c r="F30" s="19"/>
      <c r="G30" s="19"/>
      <c r="H30" s="19"/>
      <c r="I30" s="19"/>
      <c r="J30" s="19"/>
    </row>
    <row r="32" spans="1:10" ht="19" x14ac:dyDescent="0.25">
      <c r="A32" s="18" t="s">
        <v>48</v>
      </c>
      <c r="B32" s="18"/>
      <c r="C32" s="18"/>
      <c r="D32" s="18"/>
      <c r="E32" s="18"/>
      <c r="F32" s="18"/>
      <c r="G32" s="18"/>
      <c r="H32" s="18"/>
      <c r="I32" s="18"/>
      <c r="J32" s="18"/>
    </row>
    <row r="33" spans="1:10" x14ac:dyDescent="0.2">
      <c r="A33" s="19" t="s">
        <v>52</v>
      </c>
      <c r="B33" s="19"/>
      <c r="C33" s="19"/>
      <c r="D33" s="19"/>
      <c r="E33" s="19"/>
      <c r="F33" s="19"/>
      <c r="G33" s="19"/>
      <c r="H33" s="19"/>
      <c r="I33" s="19"/>
      <c r="J33" s="19"/>
    </row>
  </sheetData>
  <mergeCells count="7">
    <mergeCell ref="A32:J32"/>
    <mergeCell ref="A33:J33"/>
    <mergeCell ref="A1:I1"/>
    <mergeCell ref="A27:J27"/>
    <mergeCell ref="A28:J28"/>
    <mergeCell ref="A29:J29"/>
    <mergeCell ref="A30:J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PivotTable - Avg CFU by Room</vt:lpstr>
      <vt:lpstr>PivotTable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Alyce Ghali</dc:creator>
  <cp:lastModifiedBy>Alyce Ghali</cp:lastModifiedBy>
  <dcterms:created xsi:type="dcterms:W3CDTF">2026-09-10T11:58:48Z</dcterms:created>
  <dcterms:modified xsi:type="dcterms:W3CDTF">2026-09-10T15:43:30Z</dcterms:modified>
</cp:coreProperties>
</file>